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yasha\Desktop\"/>
    </mc:Choice>
  </mc:AlternateContent>
  <xr:revisionPtr revIDLastSave="0" documentId="13_ncr:1_{98F54DE8-BCFC-4A22-ACB8-0CEFA3533123}" xr6:coauthVersionLast="47" xr6:coauthVersionMax="47" xr10:uidLastSave="{00000000-0000-0000-0000-000000000000}"/>
  <bookViews>
    <workbookView xWindow="-110" yWindow="-110" windowWidth="19420" windowHeight="10300" activeTab="1" xr2:uid="{1F2BC5D1-6E08-42BF-AF8A-DB36A171451F}"/>
  </bookViews>
  <sheets>
    <sheet name="Pivot Report " sheetId="1" r:id="rId1"/>
    <sheet name="Dashboard" sheetId="2" r:id="rId2"/>
    <sheet name="Daily ER Room No. of Patient" sheetId="3" r:id="rId3"/>
    <sheet name="Average wait time daily trned " sheetId="4" r:id="rId4"/>
    <sheet name="Satisfa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5be939-383f-46e1-8f7e-dfe3e332a310" name="Hospital Emergency Room Data" connection="Query - Hospital Emergency Room Data"/>
          <x15:modelTable id="Calendar_Table_14ea8bf4-7af2-4c30-9061-8c7a2832eed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 l="1"/>
  <c r="B1" i="2"/>
  <c r="C1" i="2"/>
  <c r="D1" i="2"/>
  <c r="D2" i="2"/>
  <c r="D3" i="2"/>
  <c r="B51" i="1"/>
  <c r="B3" i="2" s="1"/>
  <c r="C51" i="1"/>
  <c r="C3" i="2" s="1"/>
  <c r="B50" i="1"/>
  <c r="B2" i="2" s="1"/>
  <c r="C50" i="1"/>
  <c r="C2" i="2" s="1"/>
  <c r="A50" i="1"/>
  <c r="A2" i="2" s="1"/>
  <c r="A51" i="1"/>
  <c r="A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58186D-9051-4794-A0FE-14267731BE35}" name="Query - Calendar_Table" description="Connection to the 'Calendar_Table' query in the workbook." type="100" refreshedVersion="8" minRefreshableVersion="5">
    <extLst>
      <ext xmlns:x15="http://schemas.microsoft.com/office/spreadsheetml/2010/11/main" uri="{DE250136-89BD-433C-8126-D09CA5730AF9}">
        <x15:connection id="cafd0359-acec-49a4-98d8-ec37e14038d3"/>
      </ext>
    </extLst>
  </connection>
  <connection id="2" xr16:uid="{3E0B39E9-253A-42D4-980A-F355C35E259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3f53246-4180-405e-b38f-9866368a372d"/>
      </ext>
    </extLst>
  </connection>
  <connection id="3" xr16:uid="{67C0B3F9-8FE4-4F9F-AD45-0DF346C65FA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<sst xmlns="http://schemas.openxmlformats.org/spreadsheetml/2006/main" count="162" uniqueCount="81">
  <si>
    <t>Distinct Count of Patient Id</t>
  </si>
  <si>
    <t>No. Of Patient</t>
  </si>
  <si>
    <t>Average of Patient Waittime</t>
  </si>
  <si>
    <t>Average of Patient Satisfaction Score</t>
  </si>
  <si>
    <t>Grand Total</t>
  </si>
  <si>
    <t>Row Labels</t>
  </si>
  <si>
    <t>Showing a Daily Trend With an Area Sparkline To Spot Patterns Like Busy Days Or Seasonal Trends</t>
  </si>
  <si>
    <t>Daily trends of no of patient</t>
  </si>
  <si>
    <t>Average wait time</t>
  </si>
  <si>
    <t>Use an area chart to track daily changes and highlight days with longer wait times that might need improvements</t>
  </si>
  <si>
    <t>Area Chart</t>
  </si>
  <si>
    <t>to Spot Patterns Like Busy Days Or Seasonal Trends</t>
  </si>
  <si>
    <t>Satisfaction score daily trend</t>
  </si>
  <si>
    <t xml:space="preserve"> </t>
  </si>
  <si>
    <t>Count of Patient Admission Flag</t>
  </si>
  <si>
    <t>Addmitted</t>
  </si>
  <si>
    <t>Not Addmitted</t>
  </si>
  <si>
    <t>Count of Patient Admission Flag2</t>
  </si>
  <si>
    <t>Addmission Staus</t>
  </si>
  <si>
    <t>%Staus</t>
  </si>
  <si>
    <t xml:space="preserve"> NO. of Patient</t>
  </si>
  <si>
    <t>0-09</t>
  </si>
  <si>
    <t>10-19</t>
  </si>
  <si>
    <t>20-29</t>
  </si>
  <si>
    <t>30-39</t>
  </si>
  <si>
    <t>40-49</t>
  </si>
  <si>
    <t>60-69</t>
  </si>
  <si>
    <t>70-79</t>
  </si>
  <si>
    <t>Count of Age Group</t>
  </si>
  <si>
    <t>age group wise analysis</t>
  </si>
  <si>
    <t>Delay</t>
  </si>
  <si>
    <t>Ontime</t>
  </si>
  <si>
    <t>Count of Patient Attend Status</t>
  </si>
  <si>
    <t>attended status</t>
  </si>
  <si>
    <t>Female</t>
  </si>
  <si>
    <t>Male</t>
  </si>
  <si>
    <t>Count of Patient Gender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</si>
  <si>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</si>
  <si>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</si>
  <si>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</si>
  <si>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</si>
  <si>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</si>
  <si>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</si>
  <si>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</si>
  <si>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</si>
  <si>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</si>
  <si>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</si>
  <si>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</si>
  <si>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</si>
  <si>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</si>
  <si>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</si>
  <si>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</si>
  <si>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</si>
  <si>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</si>
  <si>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</si>
  <si>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</si>
  <si>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</si>
  <si>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</si>
  <si>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</si>
  <si>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</si>
  <si>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</si>
  <si>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</si>
  <si>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</si>
  <si>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</si>
  <si>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</si>
  <si>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</si>
  <si>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</si>
  <si>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</si>
  <si>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Gender wise analysis</t>
  </si>
  <si>
    <t>Cardiology</t>
  </si>
  <si>
    <t>Gastroenterology</t>
  </si>
  <si>
    <t>General Practice</t>
  </si>
  <si>
    <t>Neurology</t>
  </si>
  <si>
    <t>None</t>
  </si>
  <si>
    <t>Orthopedics</t>
  </si>
  <si>
    <t>Physiotherapy</t>
  </si>
  <si>
    <t>Renal</t>
  </si>
  <si>
    <t>Count of Department Referral</t>
  </si>
  <si>
    <t>no. of patient by department referal</t>
  </si>
  <si>
    <t>2024</t>
  </si>
  <si>
    <t>use an area chart to show trends,spot dops in satisfaction,and link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</si>
</sst>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Segoe UI Symbol"/>
      <family val="2"/>
    </font>
    <font>
      <sz val="9"/>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2" fontId="0" fillId="0" borderId="0" xfId="0" applyNumberFormat="1"/>
    <xf numFmtId="0" fontId="0" fillId="2" borderId="0" xfId="0" applyFill="1"/>
    <xf numFmtId="0" fontId="1" fillId="0" borderId="0" xfId="0" applyFont="1"/>
    <xf numFmtId="0" fontId="0" fillId="0" borderId="0" xfId="0" pivotButton="1"/>
    <xf numFmtId="0" fontId="0" fillId="0" borderId="0" xfId="0" applyAlignment="1">
      <alignment horizontal="left"/>
    </xf>
    <xf numFmtId="0" fontId="0" fillId="3" borderId="0" xfId="0" applyFill="1"/>
    <xf numFmtId="0" fontId="0" fillId="4" borderId="0" xfId="0" applyFill="1"/>
    <xf numFmtId="10" fontId="0" fillId="0" borderId="0" xfId="0" applyNumberFormat="1"/>
    <xf numFmtId="1" fontId="0" fillId="0" borderId="0" xfId="0" applyNumberFormat="1"/>
    <xf numFmtId="0" fontId="2" fillId="5" borderId="0" xfId="0" applyFont="1" applyFill="1" applyAlignment="1">
      <alignment horizontal="center"/>
    </xf>
    <xf numFmtId="0" fontId="2" fillId="5" borderId="0" xfId="0" applyFont="1" applyFill="1"/>
    <xf numFmtId="0" fontId="2" fillId="3" borderId="0" xfId="0" applyFont="1" applyFill="1" applyAlignment="1">
      <alignment horizontal="center"/>
    </xf>
    <xf numFmtId="10" fontId="2" fillId="3" borderId="0" xfId="0" applyNumberFormat="1" applyFont="1" applyFill="1" applyAlignment="1">
      <alignment horizontal="center"/>
    </xf>
    <xf numFmtId="0" fontId="2" fillId="3" borderId="0" xfId="0" applyFont="1" applyFill="1"/>
    <xf numFmtId="0" fontId="3" fillId="0" borderId="1" xfId="0" applyFont="1" applyBorder="1"/>
  </cellXfs>
  <cellStyles count="1">
    <cellStyle name="Normal" xfId="0" builtinId="0"/>
  </cellStyles>
  <dxfs count="15">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1" formatCode="0"/>
    </dxf>
    <dxf>
      <numFmt numFmtId="1" formatCode="0"/>
    </dxf>
    <dxf>
      <numFmt numFmtId="2" formatCode="0.00"/>
    </dxf>
    <dxf>
      <font>
        <b/>
        <color theme="1"/>
      </font>
      <border>
        <bottom style="thin">
          <color theme="5"/>
        </bottom>
        <vertical/>
        <horizontal/>
      </border>
    </dxf>
    <dxf>
      <font>
        <sz val="7"/>
        <color theme="1"/>
      </font>
      <fill>
        <patternFill>
          <bgColor theme="0" tint="-0.14996795556505021"/>
        </patternFill>
      </fill>
      <border diagonalUp="0" diagonalDown="0">
        <left/>
        <right/>
        <top/>
        <bottom/>
        <vertical/>
        <horizontal/>
      </border>
    </dxf>
  </dxfs>
  <tableStyles count="1" defaultTableStyle="TableStyleMedium2" defaultPivotStyle="PivotStyleLight16">
    <tableStyle name="My Style" pivot="0" table="0" count="10" xr9:uid="{EFF669ED-A893-4705-B7E6-DAA9B0030240}">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!PivotTable7</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34721962885705376"/>
          <c:y val="6.4533633560532296E-3"/>
          <c:w val="0.44894868268360433"/>
          <c:h val="0.8416746864975212"/>
        </c:manualLayout>
      </c:layout>
      <c:barChart>
        <c:barDir val="bar"/>
        <c:grouping val="clustered"/>
        <c:varyColors val="0"/>
        <c:ser>
          <c:idx val="0"/>
          <c:order val="0"/>
          <c:tx>
            <c:strRef>
              <c:f>'Pivot Report '!$B$41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E72-4234-8A9F-FF9EB82E1F1A}"/>
              </c:ext>
            </c:extLst>
          </c:dPt>
          <c:dPt>
            <c:idx val="1"/>
            <c:invertIfNegative val="0"/>
            <c:bubble3D val="0"/>
            <c:extLst>
              <c:ext xmlns:c16="http://schemas.microsoft.com/office/drawing/2014/chart" uri="{C3380CC4-5D6E-409C-BE32-E72D297353CC}">
                <c16:uniqueId val="{00000001-EE72-4234-8A9F-FF9EB82E1F1A}"/>
              </c:ext>
            </c:extLst>
          </c:dPt>
          <c:cat>
            <c:strRef>
              <c:f>'Pivot Report '!$A$42:$A$44</c:f>
              <c:strCache>
                <c:ptCount val="2"/>
                <c:pt idx="0">
                  <c:v>Addmitted</c:v>
                </c:pt>
                <c:pt idx="1">
                  <c:v>Not Addmitted</c:v>
                </c:pt>
              </c:strCache>
            </c:strRef>
          </c:cat>
          <c:val>
            <c:numRef>
              <c:f>'Pivot Report '!$B$42:$B$44</c:f>
              <c:numCache>
                <c:formatCode>0</c:formatCode>
                <c:ptCount val="2"/>
                <c:pt idx="0">
                  <c:v>266</c:v>
                </c:pt>
                <c:pt idx="1">
                  <c:v>253</c:v>
                </c:pt>
              </c:numCache>
            </c:numRef>
          </c:val>
          <c:extLst>
            <c:ext xmlns:c16="http://schemas.microsoft.com/office/drawing/2014/chart" uri="{C3380CC4-5D6E-409C-BE32-E72D297353CC}">
              <c16:uniqueId val="{00000002-1464-4E6F-AB36-54D4AD089D09}"/>
            </c:ext>
          </c:extLst>
        </c:ser>
        <c:ser>
          <c:idx val="1"/>
          <c:order val="1"/>
          <c:tx>
            <c:strRef>
              <c:f>'Pivot Report '!$C$41</c:f>
              <c:strCache>
                <c:ptCount val="1"/>
                <c:pt idx="0">
                  <c:v>Count of Patient Admission Flag2</c:v>
                </c:pt>
              </c:strCache>
            </c:strRef>
          </c:tx>
          <c:spPr>
            <a:solidFill>
              <a:schemeClr val="accent2"/>
            </a:solidFill>
            <a:ln>
              <a:noFill/>
            </a:ln>
            <a:effectLst/>
          </c:spPr>
          <c:invertIfNegative val="0"/>
          <c:cat>
            <c:strRef>
              <c:f>'Pivot Report '!$A$42:$A$44</c:f>
              <c:strCache>
                <c:ptCount val="2"/>
                <c:pt idx="0">
                  <c:v>Addmitted</c:v>
                </c:pt>
                <c:pt idx="1">
                  <c:v>Not Addmitted</c:v>
                </c:pt>
              </c:strCache>
            </c:strRef>
          </c:cat>
          <c:val>
            <c:numRef>
              <c:f>'Pivot Report '!$C$42:$C$44</c:f>
              <c:numCache>
                <c:formatCode>0.00%</c:formatCode>
                <c:ptCount val="2"/>
                <c:pt idx="0">
                  <c:v>0.51252408477842004</c:v>
                </c:pt>
                <c:pt idx="1">
                  <c:v>0.48747591522157996</c:v>
                </c:pt>
              </c:numCache>
            </c:numRef>
          </c:val>
          <c:extLst>
            <c:ext xmlns:c16="http://schemas.microsoft.com/office/drawing/2014/chart" uri="{C3380CC4-5D6E-409C-BE32-E72D297353CC}">
              <c16:uniqueId val="{00000003-1464-4E6F-AB36-54D4AD089D09}"/>
            </c:ext>
          </c:extLst>
        </c:ser>
        <c:dLbls>
          <c:showLegendKey val="0"/>
          <c:showVal val="0"/>
          <c:showCatName val="0"/>
          <c:showSerName val="0"/>
          <c:showPercent val="0"/>
          <c:showBubbleSize val="0"/>
        </c:dLbls>
        <c:gapWidth val="0"/>
        <c:axId val="434073088"/>
        <c:axId val="433323280"/>
      </c:barChart>
      <c:catAx>
        <c:axId val="434073088"/>
        <c:scaling>
          <c:orientation val="minMax"/>
        </c:scaling>
        <c:delete val="1"/>
        <c:axPos val="l"/>
        <c:numFmt formatCode="General" sourceLinked="1"/>
        <c:majorTickMark val="none"/>
        <c:minorTickMark val="none"/>
        <c:tickLblPos val="nextTo"/>
        <c:crossAx val="433323280"/>
        <c:crosses val="autoZero"/>
        <c:auto val="1"/>
        <c:lblAlgn val="ctr"/>
        <c:lblOffset val="100"/>
        <c:noMultiLvlLbl val="0"/>
      </c:catAx>
      <c:valAx>
        <c:axId val="433323280"/>
        <c:scaling>
          <c:orientation val="minMax"/>
        </c:scaling>
        <c:delete val="1"/>
        <c:axPos val="b"/>
        <c:numFmt formatCode="0" sourceLinked="1"/>
        <c:majorTickMark val="none"/>
        <c:minorTickMark val="none"/>
        <c:tickLblPos val="nextTo"/>
        <c:crossAx val="4340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837805777067605"/>
          <c:w val="1"/>
          <c:h val="0.83162216777224929"/>
        </c:manualLayout>
      </c:layout>
      <c:areaChart>
        <c:grouping val="standard"/>
        <c:varyColors val="0"/>
        <c:ser>
          <c:idx val="0"/>
          <c:order val="0"/>
          <c:tx>
            <c:strRef>
              <c:f>'Pivot Report '!$E$7</c:f>
              <c:strCache>
                <c:ptCount val="1"/>
                <c:pt idx="0">
                  <c:v>Total</c:v>
                </c:pt>
              </c:strCache>
            </c:strRef>
          </c:tx>
          <c:spPr>
            <a:solidFill>
              <a:schemeClr val="accent1"/>
            </a:solidFill>
            <a:ln w="25400">
              <a:noFill/>
            </a:ln>
            <a:effectLst/>
          </c:spPr>
          <c:cat>
            <c:strRef>
              <c:f>'Pivot Report '!$D$8:$D$39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'!$E$8:$E$39</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6106-43CD-AD4C-A82C7517765A}"/>
            </c:ext>
          </c:extLst>
        </c:ser>
        <c:dLbls>
          <c:showLegendKey val="0"/>
          <c:showVal val="0"/>
          <c:showCatName val="0"/>
          <c:showSerName val="0"/>
          <c:showPercent val="0"/>
          <c:showBubbleSize val="0"/>
        </c:dLbls>
        <c:axId val="2021650592"/>
        <c:axId val="2138521552"/>
      </c:areaChart>
      <c:catAx>
        <c:axId val="2021650592"/>
        <c:scaling>
          <c:orientation val="minMax"/>
        </c:scaling>
        <c:delete val="1"/>
        <c:axPos val="b"/>
        <c:numFmt formatCode="General" sourceLinked="1"/>
        <c:majorTickMark val="out"/>
        <c:minorTickMark val="none"/>
        <c:tickLblPos val="nextTo"/>
        <c:crossAx val="2138521552"/>
        <c:crosses val="autoZero"/>
        <c:auto val="1"/>
        <c:lblAlgn val="ctr"/>
        <c:lblOffset val="100"/>
        <c:noMultiLvlLbl val="0"/>
      </c:catAx>
      <c:valAx>
        <c:axId val="2138521552"/>
        <c:scaling>
          <c:orientation val="minMax"/>
        </c:scaling>
        <c:delete val="1"/>
        <c:axPos val="l"/>
        <c:numFmt formatCode="General" sourceLinked="1"/>
        <c:majorTickMark val="none"/>
        <c:minorTickMark val="none"/>
        <c:tickLblPos val="nextTo"/>
        <c:crossAx val="2021650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!PivotTable3</c:name>
    <c:fmtId val="2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5321757020679E-3"/>
          <c:y val="2.0138284812473077E-3"/>
          <c:w val="0.93888888888888888"/>
          <c:h val="0.53972404152320796"/>
        </c:manualLayout>
      </c:layout>
      <c:areaChart>
        <c:grouping val="standard"/>
        <c:varyColors val="0"/>
        <c:ser>
          <c:idx val="0"/>
          <c:order val="0"/>
          <c:tx>
            <c:strRef>
              <c:f>'Pivot Report '!$J$7</c:f>
              <c:strCache>
                <c:ptCount val="1"/>
                <c:pt idx="0">
                  <c:v>Total</c:v>
                </c:pt>
              </c:strCache>
            </c:strRef>
          </c:tx>
          <c:spPr>
            <a:solidFill>
              <a:schemeClr val="accent1"/>
            </a:solidFill>
            <a:ln w="25400">
              <a:noFill/>
            </a:ln>
            <a:effectLst/>
          </c:spPr>
          <c:cat>
            <c:strRef>
              <c:f>'Pivot Report '!$I$8:$I$39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'!$J$8:$J$39</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80BC-4366-AB57-EB08091AA50F}"/>
            </c:ext>
          </c:extLst>
        </c:ser>
        <c:dLbls>
          <c:showLegendKey val="0"/>
          <c:showVal val="0"/>
          <c:showCatName val="0"/>
          <c:showSerName val="0"/>
          <c:showPercent val="0"/>
          <c:showBubbleSize val="0"/>
        </c:dLbls>
        <c:axId val="1006415567"/>
        <c:axId val="51401519"/>
      </c:areaChart>
      <c:catAx>
        <c:axId val="1006415567"/>
        <c:scaling>
          <c:orientation val="minMax"/>
        </c:scaling>
        <c:delete val="1"/>
        <c:axPos val="b"/>
        <c:numFmt formatCode="General" sourceLinked="1"/>
        <c:majorTickMark val="out"/>
        <c:minorTickMark val="none"/>
        <c:tickLblPos val="nextTo"/>
        <c:crossAx val="51401519"/>
        <c:crosses val="autoZero"/>
        <c:auto val="1"/>
        <c:lblAlgn val="ctr"/>
        <c:lblOffset val="100"/>
        <c:noMultiLvlLbl val="0"/>
      </c:catAx>
      <c:valAx>
        <c:axId val="51401519"/>
        <c:scaling>
          <c:orientation val="minMax"/>
        </c:scaling>
        <c:delete val="1"/>
        <c:axPos val="l"/>
        <c:numFmt formatCode="0.00" sourceLinked="1"/>
        <c:majorTickMark val="none"/>
        <c:minorTickMark val="none"/>
        <c:tickLblPos val="nextTo"/>
        <c:crossAx val="1006415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!PivotTable6</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3545512956398994E-2"/>
          <c:w val="1"/>
          <c:h val="0.81661547866125694"/>
        </c:manualLayout>
      </c:layout>
      <c:areaChart>
        <c:grouping val="standard"/>
        <c:varyColors val="0"/>
        <c:ser>
          <c:idx val="0"/>
          <c:order val="0"/>
          <c:tx>
            <c:strRef>
              <c:f>'Pivot Report '!$M$7</c:f>
              <c:strCache>
                <c:ptCount val="1"/>
                <c:pt idx="0">
                  <c:v>Total</c:v>
                </c:pt>
              </c:strCache>
            </c:strRef>
          </c:tx>
          <c:spPr>
            <a:solidFill>
              <a:schemeClr val="accent1"/>
            </a:solidFill>
            <a:ln w="25400">
              <a:noFill/>
            </a:ln>
            <a:effectLst/>
          </c:spPr>
          <c:cat>
            <c:strRef>
              <c:f>'Pivot Report '!$L$8:$L$39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'!$M$8:$M$39</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C2CA-4573-967F-43EB78622B4E}"/>
            </c:ext>
          </c:extLst>
        </c:ser>
        <c:dLbls>
          <c:showLegendKey val="0"/>
          <c:showVal val="0"/>
          <c:showCatName val="0"/>
          <c:showSerName val="0"/>
          <c:showPercent val="0"/>
          <c:showBubbleSize val="0"/>
        </c:dLbls>
        <c:axId val="358875855"/>
        <c:axId val="972752879"/>
      </c:areaChart>
      <c:catAx>
        <c:axId val="358875855"/>
        <c:scaling>
          <c:orientation val="minMax"/>
        </c:scaling>
        <c:delete val="1"/>
        <c:axPos val="b"/>
        <c:numFmt formatCode="General" sourceLinked="1"/>
        <c:majorTickMark val="out"/>
        <c:minorTickMark val="none"/>
        <c:tickLblPos val="nextTo"/>
        <c:crossAx val="972752879"/>
        <c:crosses val="autoZero"/>
        <c:auto val="1"/>
        <c:lblAlgn val="ctr"/>
        <c:lblOffset val="100"/>
        <c:noMultiLvlLbl val="0"/>
      </c:catAx>
      <c:valAx>
        <c:axId val="972752879"/>
        <c:scaling>
          <c:orientation val="minMax"/>
        </c:scaling>
        <c:delete val="1"/>
        <c:axPos val="l"/>
        <c:numFmt formatCode="0.00" sourceLinked="1"/>
        <c:majorTickMark val="out"/>
        <c:minorTickMark val="none"/>
        <c:tickLblPos val="nextTo"/>
        <c:crossAx val="3588758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8463016559275525E-2"/>
          <c:w val="0.92686983799601375"/>
          <c:h val="0.69758341352413866"/>
        </c:manualLayout>
      </c:layout>
      <c:barChart>
        <c:barDir val="col"/>
        <c:grouping val="clustered"/>
        <c:varyColors val="0"/>
        <c:ser>
          <c:idx val="0"/>
          <c:order val="0"/>
          <c:tx>
            <c:strRef>
              <c:f>'Pivot Report '!$B$55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'!$A$56:$A$63</c:f>
              <c:strCache>
                <c:ptCount val="7"/>
                <c:pt idx="0">
                  <c:v>0-09</c:v>
                </c:pt>
                <c:pt idx="1">
                  <c:v>10-19</c:v>
                </c:pt>
                <c:pt idx="2">
                  <c:v>20-29</c:v>
                </c:pt>
                <c:pt idx="3">
                  <c:v>30-39</c:v>
                </c:pt>
                <c:pt idx="4">
                  <c:v>40-49</c:v>
                </c:pt>
                <c:pt idx="5">
                  <c:v>60-69</c:v>
                </c:pt>
                <c:pt idx="6">
                  <c:v>70-79</c:v>
                </c:pt>
              </c:strCache>
            </c:strRef>
          </c:cat>
          <c:val>
            <c:numRef>
              <c:f>'Pivot Report '!$B$56:$B$63</c:f>
              <c:numCache>
                <c:formatCode>0</c:formatCode>
                <c:ptCount val="7"/>
                <c:pt idx="0">
                  <c:v>73</c:v>
                </c:pt>
                <c:pt idx="1">
                  <c:v>64</c:v>
                </c:pt>
                <c:pt idx="2">
                  <c:v>74</c:v>
                </c:pt>
                <c:pt idx="3">
                  <c:v>71</c:v>
                </c:pt>
                <c:pt idx="4">
                  <c:v>126</c:v>
                </c:pt>
                <c:pt idx="5">
                  <c:v>62</c:v>
                </c:pt>
                <c:pt idx="6">
                  <c:v>49</c:v>
                </c:pt>
              </c:numCache>
            </c:numRef>
          </c:val>
          <c:extLst>
            <c:ext xmlns:c16="http://schemas.microsoft.com/office/drawing/2014/chart" uri="{C3380CC4-5D6E-409C-BE32-E72D297353CC}">
              <c16:uniqueId val="{00000000-6424-4D53-BE21-48ACB341B93C}"/>
            </c:ext>
          </c:extLst>
        </c:ser>
        <c:dLbls>
          <c:showLegendKey val="0"/>
          <c:showVal val="0"/>
          <c:showCatName val="0"/>
          <c:showSerName val="0"/>
          <c:showPercent val="0"/>
          <c:showBubbleSize val="0"/>
        </c:dLbls>
        <c:gapWidth val="219"/>
        <c:overlap val="-27"/>
        <c:axId val="1847569679"/>
        <c:axId val="1847743055"/>
      </c:barChart>
      <c:catAx>
        <c:axId val="184756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47743055"/>
        <c:crosses val="autoZero"/>
        <c:auto val="1"/>
        <c:lblAlgn val="ctr"/>
        <c:lblOffset val="100"/>
        <c:noMultiLvlLbl val="0"/>
      </c:catAx>
      <c:valAx>
        <c:axId val="1847743055"/>
        <c:scaling>
          <c:orientation val="minMax"/>
        </c:scaling>
        <c:delete val="1"/>
        <c:axPos val="l"/>
        <c:numFmt formatCode="0" sourceLinked="1"/>
        <c:majorTickMark val="none"/>
        <c:minorTickMark val="none"/>
        <c:tickLblPos val="nextTo"/>
        <c:crossAx val="184756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!PivotTable9</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1371430510505455"/>
          <c:y val="0.13320817523991862"/>
          <c:w val="0.54472381559326255"/>
          <c:h val="0.75577859241319822"/>
        </c:manualLayout>
      </c:layout>
      <c:pieChart>
        <c:varyColors val="1"/>
        <c:ser>
          <c:idx val="0"/>
          <c:order val="0"/>
          <c:tx>
            <c:strRef>
              <c:f>'Pivot Report '!$B$66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0B8-4159-96F2-6FEA9A64B1C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0B8-4159-96F2-6FEA9A64B1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 '!$A$67:$A$69</c:f>
              <c:strCache>
                <c:ptCount val="2"/>
                <c:pt idx="0">
                  <c:v>Delay</c:v>
                </c:pt>
                <c:pt idx="1">
                  <c:v>Ontime</c:v>
                </c:pt>
              </c:strCache>
            </c:strRef>
          </c:cat>
          <c:val>
            <c:numRef>
              <c:f>'Pivot Report '!$B$67:$B$69</c:f>
              <c:numCache>
                <c:formatCode>0</c:formatCode>
                <c:ptCount val="2"/>
                <c:pt idx="0">
                  <c:v>324</c:v>
                </c:pt>
                <c:pt idx="1">
                  <c:v>195</c:v>
                </c:pt>
              </c:numCache>
            </c:numRef>
          </c:val>
          <c:extLst>
            <c:ext xmlns:c16="http://schemas.microsoft.com/office/drawing/2014/chart" uri="{C3380CC4-5D6E-409C-BE32-E72D297353CC}">
              <c16:uniqueId val="{00000004-3474-4E89-B1AD-30CEF1A8BB9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5122103336750118"/>
          <c:y val="5.7777189162982014E-4"/>
          <c:w val="0.57236392528001279"/>
          <c:h val="0.1959235327420852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!PivotTable10</c:name>
    <c:fmtId val="5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71633513894768"/>
          <c:y val="0.16767930926481395"/>
          <c:w val="0.42127491230020886"/>
          <c:h val="0.66464138147037211"/>
        </c:manualLayout>
      </c:layout>
      <c:doughnutChart>
        <c:varyColors val="1"/>
        <c:ser>
          <c:idx val="0"/>
          <c:order val="0"/>
          <c:tx>
            <c:strRef>
              <c:f>'Pivot Report '!$B$73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E35-4D45-B7C4-4F427A06A42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E35-4D45-B7C4-4F427A06A4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 '!$A$74:$A$76</c:f>
              <c:strCache>
                <c:ptCount val="2"/>
                <c:pt idx="0">
                  <c:v>Female</c:v>
                </c:pt>
                <c:pt idx="1">
                  <c:v>Male</c:v>
                </c:pt>
              </c:strCache>
            </c:strRef>
          </c:cat>
          <c:val>
            <c:numRef>
              <c:f>'Pivot Report '!$B$74:$B$76</c:f>
              <c:numCache>
                <c:formatCode>0</c:formatCode>
                <c:ptCount val="2"/>
                <c:pt idx="0">
                  <c:v>254</c:v>
                </c:pt>
                <c:pt idx="1">
                  <c:v>265</c:v>
                </c:pt>
              </c:numCache>
            </c:numRef>
          </c:val>
          <c:extLst>
            <c:ext xmlns:c16="http://schemas.microsoft.com/office/drawing/2014/chart" uri="{C3380CC4-5D6E-409C-BE32-E72D297353CC}">
              <c16:uniqueId val="{00000004-15C7-44CF-BB58-9BD4C8A8361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17552795250395967"/>
          <c:y val="2.6938551793092649E-2"/>
          <c:w val="0.43288263761267592"/>
          <c:h val="0.1330890944791779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!PivotTable11</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47118712071824"/>
          <c:y val="6.5116279069767441E-2"/>
          <c:w val="0.64366022436091197"/>
          <c:h val="0.87276208712302539"/>
        </c:manualLayout>
      </c:layout>
      <c:barChart>
        <c:barDir val="bar"/>
        <c:grouping val="clustered"/>
        <c:varyColors val="0"/>
        <c:ser>
          <c:idx val="0"/>
          <c:order val="0"/>
          <c:tx>
            <c:strRef>
              <c:f>'Pivot Report '!$B$80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'!$A$81:$A$89</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 '!$B$81:$B$89</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18-462E-416B-876A-F00DE7377FAB}"/>
            </c:ext>
          </c:extLst>
        </c:ser>
        <c:dLbls>
          <c:showLegendKey val="0"/>
          <c:showVal val="0"/>
          <c:showCatName val="0"/>
          <c:showSerName val="0"/>
          <c:showPercent val="0"/>
          <c:showBubbleSize val="0"/>
        </c:dLbls>
        <c:gapWidth val="70"/>
        <c:axId val="832356991"/>
        <c:axId val="1403976815"/>
      </c:barChart>
      <c:catAx>
        <c:axId val="83235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03976815"/>
        <c:crosses val="autoZero"/>
        <c:auto val="1"/>
        <c:lblAlgn val="ctr"/>
        <c:lblOffset val="100"/>
        <c:noMultiLvlLbl val="0"/>
      </c:catAx>
      <c:valAx>
        <c:axId val="1403976815"/>
        <c:scaling>
          <c:orientation val="minMax"/>
        </c:scaling>
        <c:delete val="1"/>
        <c:axPos val="b"/>
        <c:numFmt formatCode="0" sourceLinked="1"/>
        <c:majorTickMark val="none"/>
        <c:minorTickMark val="none"/>
        <c:tickLblPos val="nextTo"/>
        <c:crossAx val="83235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!PivotTable2</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69926650366748E-2"/>
          <c:y val="1.8205333029023515E-3"/>
          <c:w val="0.97066014669926648"/>
          <c:h val="0.82441746864975207"/>
        </c:manualLayout>
      </c:layout>
      <c:areaChart>
        <c:grouping val="standard"/>
        <c:varyColors val="0"/>
        <c:ser>
          <c:idx val="0"/>
          <c:order val="0"/>
          <c:tx>
            <c:strRef>
              <c:f>'Pivot Report '!$E$7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'!$D$8:$D$39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'!$E$8:$E$39</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6D3B-4A73-80D1-80D1DD7259B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21650592"/>
        <c:axId val="2138521552"/>
      </c:areaChart>
      <c:catAx>
        <c:axId val="20216505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8521552"/>
        <c:crosses val="autoZero"/>
        <c:auto val="1"/>
        <c:lblAlgn val="ctr"/>
        <c:lblOffset val="100"/>
        <c:noMultiLvlLbl val="0"/>
      </c:catAx>
      <c:valAx>
        <c:axId val="2138521552"/>
        <c:scaling>
          <c:orientation val="minMax"/>
        </c:scaling>
        <c:delete val="1"/>
        <c:axPos val="l"/>
        <c:numFmt formatCode="General" sourceLinked="1"/>
        <c:majorTickMark val="out"/>
        <c:minorTickMark val="none"/>
        <c:tickLblPos val="nextTo"/>
        <c:crossAx val="2021650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!PivotTable3</c:name>
    <c:fmtId val="26"/>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11401318737594E-2"/>
          <c:y val="0.19200925762873891"/>
          <c:w val="0.93888888888888888"/>
          <c:h val="0.53972404152320796"/>
        </c:manualLayout>
      </c:layout>
      <c:areaChart>
        <c:grouping val="standard"/>
        <c:varyColors val="0"/>
        <c:ser>
          <c:idx val="0"/>
          <c:order val="0"/>
          <c:tx>
            <c:strRef>
              <c:f>'Pivot Report '!$J$7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'!$I$8:$I$39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'!$J$8:$J$39</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5DF0-4E5F-B9E6-F4E464DFC65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06415567"/>
        <c:axId val="51401519"/>
      </c:areaChart>
      <c:catAx>
        <c:axId val="10064155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1401519"/>
        <c:crosses val="autoZero"/>
        <c:auto val="1"/>
        <c:lblAlgn val="ctr"/>
        <c:lblOffset val="100"/>
        <c:noMultiLvlLbl val="0"/>
      </c:catAx>
      <c:valAx>
        <c:axId val="51401519"/>
        <c:scaling>
          <c:orientation val="minMax"/>
        </c:scaling>
        <c:delete val="1"/>
        <c:axPos val="l"/>
        <c:numFmt formatCode="0.00" sourceLinked="1"/>
        <c:majorTickMark val="out"/>
        <c:minorTickMark val="none"/>
        <c:tickLblPos val="nextTo"/>
        <c:crossAx val="1006415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 !PivotTable6</c:name>
    <c:fmtId val="39"/>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83768317871578E-2"/>
          <c:y val="1.919888966797427E-2"/>
          <c:w val="0.86231474190726154"/>
          <c:h val="0.77487642169728788"/>
        </c:manualLayout>
      </c:layout>
      <c:areaChart>
        <c:grouping val="standard"/>
        <c:varyColors val="0"/>
        <c:ser>
          <c:idx val="0"/>
          <c:order val="0"/>
          <c:tx>
            <c:strRef>
              <c:f>'Pivot Report '!$M$7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'!$L$8:$L$39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'!$M$8:$M$39</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9CF7-4895-BDFF-6B93B6B4A18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58875855"/>
        <c:axId val="972752879"/>
      </c:areaChart>
      <c:catAx>
        <c:axId val="3588758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72752879"/>
        <c:crosses val="autoZero"/>
        <c:auto val="1"/>
        <c:lblAlgn val="ctr"/>
        <c:lblOffset val="100"/>
        <c:noMultiLvlLbl val="0"/>
      </c:catAx>
      <c:valAx>
        <c:axId val="972752879"/>
        <c:scaling>
          <c:orientation val="minMax"/>
        </c:scaling>
        <c:delete val="1"/>
        <c:axPos val="l"/>
        <c:numFmt formatCode="0.00" sourceLinked="1"/>
        <c:majorTickMark val="out"/>
        <c:minorTickMark val="none"/>
        <c:tickLblPos val="nextTo"/>
        <c:crossAx val="3588758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Room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ned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133684</xdr:colOff>
      <xdr:row>49</xdr:row>
      <xdr:rowOff>6684</xdr:rowOff>
    </xdr:from>
    <xdr:to>
      <xdr:col>4</xdr:col>
      <xdr:colOff>267368</xdr:colOff>
      <xdr:row>51</xdr:row>
      <xdr:rowOff>26736</xdr:rowOff>
    </xdr:to>
    <xdr:graphicFrame macro="">
      <xdr:nvGraphicFramePr>
        <xdr:cNvPr id="2" name="Chart 1">
          <a:extLst>
            <a:ext uri="{FF2B5EF4-FFF2-40B4-BE49-F238E27FC236}">
              <a16:creationId xmlns:a16="http://schemas.microsoft.com/office/drawing/2014/main" id="{F89CA50F-8742-7406-60A5-3EC6D3759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58207</xdr:colOff>
      <xdr:row>0</xdr:row>
      <xdr:rowOff>26459</xdr:rowOff>
    </xdr:from>
    <xdr:to>
      <xdr:col>5</xdr:col>
      <xdr:colOff>190500</xdr:colOff>
      <xdr:row>2</xdr:row>
      <xdr:rowOff>148166</xdr:rowOff>
    </xdr:to>
    <xdr:sp macro="" textlink="">
      <xdr:nvSpPr>
        <xdr:cNvPr id="2" name="Rectangle: Rounded Corners 1">
          <a:extLst>
            <a:ext uri="{FF2B5EF4-FFF2-40B4-BE49-F238E27FC236}">
              <a16:creationId xmlns:a16="http://schemas.microsoft.com/office/drawing/2014/main" id="{8D8C3D53-01D7-939E-59D7-B9E3A272B382}"/>
            </a:ext>
          </a:extLst>
        </xdr:cNvPr>
        <xdr:cNvSpPr/>
      </xdr:nvSpPr>
      <xdr:spPr>
        <a:xfrm>
          <a:off x="58207" y="26459"/>
          <a:ext cx="3175001" cy="4921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238126</xdr:colOff>
      <xdr:row>0</xdr:row>
      <xdr:rowOff>26459</xdr:rowOff>
    </xdr:from>
    <xdr:to>
      <xdr:col>7</xdr:col>
      <xdr:colOff>63499</xdr:colOff>
      <xdr:row>2</xdr:row>
      <xdr:rowOff>137584</xdr:rowOff>
    </xdr:to>
    <xdr:sp macro="" textlink="">
      <xdr:nvSpPr>
        <xdr:cNvPr id="3" name="Rectangle: Rounded Corners 2">
          <a:extLst>
            <a:ext uri="{FF2B5EF4-FFF2-40B4-BE49-F238E27FC236}">
              <a16:creationId xmlns:a16="http://schemas.microsoft.com/office/drawing/2014/main" id="{14B1891E-360B-DDE6-9907-05F4CC7920D7}"/>
            </a:ext>
          </a:extLst>
        </xdr:cNvPr>
        <xdr:cNvSpPr/>
      </xdr:nvSpPr>
      <xdr:spPr>
        <a:xfrm>
          <a:off x="3280834" y="26459"/>
          <a:ext cx="1042457" cy="48154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121709</xdr:colOff>
      <xdr:row>0</xdr:row>
      <xdr:rowOff>0</xdr:rowOff>
    </xdr:from>
    <xdr:to>
      <xdr:col>9</xdr:col>
      <xdr:colOff>127001</xdr:colOff>
      <xdr:row>6</xdr:row>
      <xdr:rowOff>148167</xdr:rowOff>
    </xdr:to>
    <xdr:sp macro="" textlink="">
      <xdr:nvSpPr>
        <xdr:cNvPr id="4" name="Rectangle: Rounded Corners 3">
          <a:extLst>
            <a:ext uri="{FF2B5EF4-FFF2-40B4-BE49-F238E27FC236}">
              <a16:creationId xmlns:a16="http://schemas.microsoft.com/office/drawing/2014/main" id="{08C6C343-86AB-F5DE-5F4C-34A9C3FC6429}"/>
            </a:ext>
          </a:extLst>
        </xdr:cNvPr>
        <xdr:cNvSpPr/>
      </xdr:nvSpPr>
      <xdr:spPr>
        <a:xfrm>
          <a:off x="4381501" y="0"/>
          <a:ext cx="1222375" cy="1285875"/>
        </a:xfrm>
        <a:prstGeom prst="roundRect">
          <a:avLst>
            <a:gd name="adj" fmla="val 1926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179918</xdr:colOff>
      <xdr:row>0</xdr:row>
      <xdr:rowOff>10583</xdr:rowOff>
    </xdr:from>
    <xdr:to>
      <xdr:col>11</xdr:col>
      <xdr:colOff>238127</xdr:colOff>
      <xdr:row>6</xdr:row>
      <xdr:rowOff>158750</xdr:rowOff>
    </xdr:to>
    <xdr:sp macro="" textlink="">
      <xdr:nvSpPr>
        <xdr:cNvPr id="5" name="Rectangle: Rounded Corners 4">
          <a:extLst>
            <a:ext uri="{FF2B5EF4-FFF2-40B4-BE49-F238E27FC236}">
              <a16:creationId xmlns:a16="http://schemas.microsoft.com/office/drawing/2014/main" id="{75D3C818-0548-8D21-6575-EC7559A226E9}"/>
            </a:ext>
          </a:extLst>
        </xdr:cNvPr>
        <xdr:cNvSpPr/>
      </xdr:nvSpPr>
      <xdr:spPr>
        <a:xfrm>
          <a:off x="5656793" y="10583"/>
          <a:ext cx="1275292" cy="1285875"/>
        </a:xfrm>
        <a:prstGeom prst="roundRect">
          <a:avLst>
            <a:gd name="adj" fmla="val 1333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47625</xdr:colOff>
      <xdr:row>2</xdr:row>
      <xdr:rowOff>169333</xdr:rowOff>
    </xdr:from>
    <xdr:to>
      <xdr:col>1</xdr:col>
      <xdr:colOff>227541</xdr:colOff>
      <xdr:row>15</xdr:row>
      <xdr:rowOff>132292</xdr:rowOff>
    </xdr:to>
    <xdr:sp macro="" textlink="">
      <xdr:nvSpPr>
        <xdr:cNvPr id="7" name="Rectangle: Rounded Corners 6">
          <a:extLst>
            <a:ext uri="{FF2B5EF4-FFF2-40B4-BE49-F238E27FC236}">
              <a16:creationId xmlns:a16="http://schemas.microsoft.com/office/drawing/2014/main" id="{19EF7FDB-54F4-5691-2404-988BA6CF3D81}"/>
            </a:ext>
          </a:extLst>
        </xdr:cNvPr>
        <xdr:cNvSpPr/>
      </xdr:nvSpPr>
      <xdr:spPr>
        <a:xfrm>
          <a:off x="47625" y="539750"/>
          <a:ext cx="788458" cy="2397125"/>
        </a:xfrm>
        <a:prstGeom prst="roundRect">
          <a:avLst>
            <a:gd name="adj" fmla="val 775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264581</xdr:colOff>
      <xdr:row>3</xdr:row>
      <xdr:rowOff>10582</xdr:rowOff>
    </xdr:from>
    <xdr:to>
      <xdr:col>3</xdr:col>
      <xdr:colOff>176057</xdr:colOff>
      <xdr:row>6</xdr:row>
      <xdr:rowOff>174625</xdr:rowOff>
    </xdr:to>
    <xdr:sp macro="" textlink="Dashboard!$A$5">
      <xdr:nvSpPr>
        <xdr:cNvPr id="13" name="Rectangle: Rounded Corners 12">
          <a:extLst>
            <a:ext uri="{FF2B5EF4-FFF2-40B4-BE49-F238E27FC236}">
              <a16:creationId xmlns:a16="http://schemas.microsoft.com/office/drawing/2014/main" id="{8761F9B6-1B0B-BF13-C3E5-DFC8427B9D4D}"/>
            </a:ext>
          </a:extLst>
        </xdr:cNvPr>
        <xdr:cNvSpPr/>
      </xdr:nvSpPr>
      <xdr:spPr>
        <a:xfrm>
          <a:off x="873123" y="566207"/>
          <a:ext cx="1128559" cy="746126"/>
        </a:xfrm>
        <a:prstGeom prst="roundRect">
          <a:avLst>
            <a:gd name="adj" fmla="val 775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671D508-62FC-4C8A-B1A3-690D6A638C59}"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editAs="absolute">
    <xdr:from>
      <xdr:col>3</xdr:col>
      <xdr:colOff>192427</xdr:colOff>
      <xdr:row>3</xdr:row>
      <xdr:rowOff>10582</xdr:rowOff>
    </xdr:from>
    <xdr:to>
      <xdr:col>5</xdr:col>
      <xdr:colOff>103903</xdr:colOff>
      <xdr:row>6</xdr:row>
      <xdr:rowOff>174625</xdr:rowOff>
    </xdr:to>
    <xdr:sp macro="" textlink="">
      <xdr:nvSpPr>
        <xdr:cNvPr id="14" name="Rectangle: Rounded Corners 13">
          <a:extLst>
            <a:ext uri="{FF2B5EF4-FFF2-40B4-BE49-F238E27FC236}">
              <a16:creationId xmlns:a16="http://schemas.microsoft.com/office/drawing/2014/main" id="{F88E22AA-277D-7E53-509A-1DAED8E1BD69}"/>
            </a:ext>
          </a:extLst>
        </xdr:cNvPr>
        <xdr:cNvSpPr/>
      </xdr:nvSpPr>
      <xdr:spPr>
        <a:xfrm>
          <a:off x="2018052" y="566207"/>
          <a:ext cx="1128559" cy="746126"/>
        </a:xfrm>
        <a:prstGeom prst="roundRect">
          <a:avLst>
            <a:gd name="adj" fmla="val 775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130857</xdr:colOff>
      <xdr:row>2</xdr:row>
      <xdr:rowOff>179917</xdr:rowOff>
    </xdr:from>
    <xdr:to>
      <xdr:col>7</xdr:col>
      <xdr:colOff>74083</xdr:colOff>
      <xdr:row>6</xdr:row>
      <xdr:rowOff>174626</xdr:rowOff>
    </xdr:to>
    <xdr:sp macro="" textlink="">
      <xdr:nvSpPr>
        <xdr:cNvPr id="15" name="Rectangle: Rounded Corners 14">
          <a:extLst>
            <a:ext uri="{FF2B5EF4-FFF2-40B4-BE49-F238E27FC236}">
              <a16:creationId xmlns:a16="http://schemas.microsoft.com/office/drawing/2014/main" id="{2D8AD65F-9A26-9A9C-D9C4-6FBA125EF70C}"/>
            </a:ext>
          </a:extLst>
        </xdr:cNvPr>
        <xdr:cNvSpPr/>
      </xdr:nvSpPr>
      <xdr:spPr>
        <a:xfrm>
          <a:off x="3173565" y="550334"/>
          <a:ext cx="1160310" cy="762000"/>
        </a:xfrm>
        <a:prstGeom prst="roundRect">
          <a:avLst>
            <a:gd name="adj" fmla="val 775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254001</xdr:colOff>
      <xdr:row>10</xdr:row>
      <xdr:rowOff>52916</xdr:rowOff>
    </xdr:from>
    <xdr:to>
      <xdr:col>7</xdr:col>
      <xdr:colOff>79375</xdr:colOff>
      <xdr:row>15</xdr:row>
      <xdr:rowOff>158750</xdr:rowOff>
    </xdr:to>
    <xdr:sp macro="" textlink="">
      <xdr:nvSpPr>
        <xdr:cNvPr id="18" name="Rectangle: Rounded Corners 17">
          <a:extLst>
            <a:ext uri="{FF2B5EF4-FFF2-40B4-BE49-F238E27FC236}">
              <a16:creationId xmlns:a16="http://schemas.microsoft.com/office/drawing/2014/main" id="{4A847E2F-051C-59B6-EB8D-EC6524982AD5}"/>
            </a:ext>
          </a:extLst>
        </xdr:cNvPr>
        <xdr:cNvSpPr/>
      </xdr:nvSpPr>
      <xdr:spPr>
        <a:xfrm>
          <a:off x="862543" y="1931458"/>
          <a:ext cx="3476624" cy="1031875"/>
        </a:xfrm>
        <a:prstGeom prst="roundRect">
          <a:avLst>
            <a:gd name="adj" fmla="val 775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xdr:colOff>
      <xdr:row>0</xdr:row>
      <xdr:rowOff>0</xdr:rowOff>
    </xdr:from>
    <xdr:to>
      <xdr:col>10</xdr:col>
      <xdr:colOff>370416</xdr:colOff>
      <xdr:row>0</xdr:row>
      <xdr:rowOff>0</xdr:rowOff>
    </xdr:to>
    <xdr:sp macro="" textlink="">
      <xdr:nvSpPr>
        <xdr:cNvPr id="19" name="Rectangle: Rounded Corners 18">
          <a:extLst>
            <a:ext uri="{FF2B5EF4-FFF2-40B4-BE49-F238E27FC236}">
              <a16:creationId xmlns:a16="http://schemas.microsoft.com/office/drawing/2014/main" id="{9F902F99-DE23-AC07-7474-CCE5B4F92902}"/>
            </a:ext>
          </a:extLst>
        </xdr:cNvPr>
        <xdr:cNvSpPr/>
      </xdr:nvSpPr>
      <xdr:spPr>
        <a:xfrm flipV="1">
          <a:off x="15875" y="0"/>
          <a:ext cx="6439958" cy="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264584</xdr:colOff>
      <xdr:row>7</xdr:row>
      <xdr:rowOff>26452</xdr:rowOff>
    </xdr:from>
    <xdr:to>
      <xdr:col>7</xdr:col>
      <xdr:colOff>79375</xdr:colOff>
      <xdr:row>9</xdr:row>
      <xdr:rowOff>178871</xdr:rowOff>
    </xdr:to>
    <xdr:sp macro="" textlink="">
      <xdr:nvSpPr>
        <xdr:cNvPr id="20" name="Rectangle: Rounded Corners 19">
          <a:extLst>
            <a:ext uri="{FF2B5EF4-FFF2-40B4-BE49-F238E27FC236}">
              <a16:creationId xmlns:a16="http://schemas.microsoft.com/office/drawing/2014/main" id="{BA40CA5A-95D1-9450-3625-5156CAB2B2C5}"/>
            </a:ext>
          </a:extLst>
        </xdr:cNvPr>
        <xdr:cNvSpPr/>
      </xdr:nvSpPr>
      <xdr:spPr>
        <a:xfrm flipV="1">
          <a:off x="873126" y="1349369"/>
          <a:ext cx="3466041" cy="522835"/>
        </a:xfrm>
        <a:prstGeom prst="roundRect">
          <a:avLst>
            <a:gd name="adj" fmla="val 775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153458</xdr:rowOff>
    </xdr:from>
    <xdr:to>
      <xdr:col>0</xdr:col>
      <xdr:colOff>100542</xdr:colOff>
      <xdr:row>15</xdr:row>
      <xdr:rowOff>174625</xdr:rowOff>
    </xdr:to>
    <xdr:cxnSp macro="">
      <xdr:nvCxnSpPr>
        <xdr:cNvPr id="39" name="Straight Connector 38">
          <a:extLst>
            <a:ext uri="{FF2B5EF4-FFF2-40B4-BE49-F238E27FC236}">
              <a16:creationId xmlns:a16="http://schemas.microsoft.com/office/drawing/2014/main" id="{A81010D3-96B3-4B5F-3B6B-E09DC041BDC1}"/>
            </a:ext>
          </a:extLst>
        </xdr:cNvPr>
        <xdr:cNvCxnSpPr/>
      </xdr:nvCxnSpPr>
      <xdr:spPr>
        <a:xfrm flipH="1" flipV="1">
          <a:off x="0" y="2931583"/>
          <a:ext cx="100542" cy="211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142876</xdr:colOff>
      <xdr:row>7</xdr:row>
      <xdr:rowOff>31748</xdr:rowOff>
    </xdr:from>
    <xdr:to>
      <xdr:col>11</xdr:col>
      <xdr:colOff>238126</xdr:colOff>
      <xdr:row>15</xdr:row>
      <xdr:rowOff>164041</xdr:rowOff>
    </xdr:to>
    <xdr:sp macro="" textlink="">
      <xdr:nvSpPr>
        <xdr:cNvPr id="53" name="Rectangle: Rounded Corners 52">
          <a:extLst>
            <a:ext uri="{FF2B5EF4-FFF2-40B4-BE49-F238E27FC236}">
              <a16:creationId xmlns:a16="http://schemas.microsoft.com/office/drawing/2014/main" id="{EA94644D-4FE8-4062-628F-BAE11301D456}"/>
            </a:ext>
          </a:extLst>
        </xdr:cNvPr>
        <xdr:cNvSpPr/>
      </xdr:nvSpPr>
      <xdr:spPr>
        <a:xfrm>
          <a:off x="4402668" y="1354665"/>
          <a:ext cx="2529416" cy="1613959"/>
        </a:xfrm>
        <a:prstGeom prst="roundRect">
          <a:avLst>
            <a:gd name="adj" fmla="val 51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31750</xdr:colOff>
      <xdr:row>0</xdr:row>
      <xdr:rowOff>84667</xdr:rowOff>
    </xdr:from>
    <xdr:to>
      <xdr:col>5</xdr:col>
      <xdr:colOff>63501</xdr:colOff>
      <xdr:row>1</xdr:row>
      <xdr:rowOff>148167</xdr:rowOff>
    </xdr:to>
    <xdr:sp macro="" textlink="">
      <xdr:nvSpPr>
        <xdr:cNvPr id="61" name="TextBox 60">
          <a:extLst>
            <a:ext uri="{FF2B5EF4-FFF2-40B4-BE49-F238E27FC236}">
              <a16:creationId xmlns:a16="http://schemas.microsoft.com/office/drawing/2014/main" id="{974FB6CA-6F62-CF93-5B8C-455201ADDD24}"/>
            </a:ext>
          </a:extLst>
        </xdr:cNvPr>
        <xdr:cNvSpPr txBox="1"/>
      </xdr:nvSpPr>
      <xdr:spPr>
        <a:xfrm>
          <a:off x="640292" y="84667"/>
          <a:ext cx="2465917" cy="248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a:t>
          </a:r>
          <a:r>
            <a:rPr lang="en-IN" sz="1100" baseline="0"/>
            <a:t> Room Dashboard</a:t>
          </a:r>
          <a:endParaRPr lang="en-IN" sz="1100"/>
        </a:p>
      </xdr:txBody>
    </xdr:sp>
    <xdr:clientData/>
  </xdr:twoCellAnchor>
  <xdr:twoCellAnchor editAs="oneCell">
    <xdr:from>
      <xdr:col>0</xdr:col>
      <xdr:colOff>100542</xdr:colOff>
      <xdr:row>0</xdr:row>
      <xdr:rowOff>21167</xdr:rowOff>
    </xdr:from>
    <xdr:to>
      <xdr:col>1</xdr:col>
      <xdr:colOff>121708</xdr:colOff>
      <xdr:row>2</xdr:row>
      <xdr:rowOff>126999</xdr:rowOff>
    </xdr:to>
    <xdr:pic>
      <xdr:nvPicPr>
        <xdr:cNvPr id="63" name="Picture 62">
          <a:extLst>
            <a:ext uri="{FF2B5EF4-FFF2-40B4-BE49-F238E27FC236}">
              <a16:creationId xmlns:a16="http://schemas.microsoft.com/office/drawing/2014/main" id="{0977D172-D8DB-C7F2-FB4F-018D0C485C2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789" r="11678" b="8163"/>
        <a:stretch>
          <a:fillRect/>
        </a:stretch>
      </xdr:blipFill>
      <xdr:spPr>
        <a:xfrm>
          <a:off x="100542" y="21167"/>
          <a:ext cx="629708" cy="476249"/>
        </a:xfrm>
        <a:prstGeom prst="rect">
          <a:avLst/>
        </a:prstGeom>
      </xdr:spPr>
    </xdr:pic>
    <xdr:clientData/>
  </xdr:twoCellAnchor>
  <xdr:twoCellAnchor editAs="absolute">
    <xdr:from>
      <xdr:col>2</xdr:col>
      <xdr:colOff>137585</xdr:colOff>
      <xdr:row>3</xdr:row>
      <xdr:rowOff>132293</xdr:rowOff>
    </xdr:from>
    <xdr:to>
      <xdr:col>3</xdr:col>
      <xdr:colOff>386293</xdr:colOff>
      <xdr:row>4</xdr:row>
      <xdr:rowOff>116418</xdr:rowOff>
    </xdr:to>
    <xdr:sp macro="" textlink="'Pivot Report '!A5">
      <xdr:nvSpPr>
        <xdr:cNvPr id="64" name="TextBox 63">
          <a:extLst>
            <a:ext uri="{FF2B5EF4-FFF2-40B4-BE49-F238E27FC236}">
              <a16:creationId xmlns:a16="http://schemas.microsoft.com/office/drawing/2014/main" id="{252EB732-65FB-57AC-2268-1E831506DEBC}"/>
            </a:ext>
          </a:extLst>
        </xdr:cNvPr>
        <xdr:cNvSpPr txBox="1"/>
      </xdr:nvSpPr>
      <xdr:spPr>
        <a:xfrm>
          <a:off x="1354668" y="687918"/>
          <a:ext cx="857250" cy="169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E6AD4A2-4440-4C8F-B77D-FE1E1C13117E}" type="TxLink">
            <a:rPr lang="en-US" sz="1100" b="0" i="0" u="none" strike="noStrike">
              <a:solidFill>
                <a:srgbClr val="000000"/>
              </a:solidFill>
              <a:latin typeface="Calibri"/>
              <a:ea typeface="Calibri"/>
              <a:cs typeface="Calibri"/>
            </a:rPr>
            <a:pPr/>
            <a:t>519</a:t>
          </a:fld>
          <a:endParaRPr lang="en-US"/>
        </a:p>
      </xdr:txBody>
    </xdr:sp>
    <xdr:clientData/>
  </xdr:twoCellAnchor>
  <xdr:twoCellAnchor editAs="absolute">
    <xdr:from>
      <xdr:col>2</xdr:col>
      <xdr:colOff>116418</xdr:colOff>
      <xdr:row>1</xdr:row>
      <xdr:rowOff>79375</xdr:rowOff>
    </xdr:from>
    <xdr:to>
      <xdr:col>3</xdr:col>
      <xdr:colOff>481544</xdr:colOff>
      <xdr:row>2</xdr:row>
      <xdr:rowOff>84665</xdr:rowOff>
    </xdr:to>
    <xdr:sp macro="" textlink="">
      <xdr:nvSpPr>
        <xdr:cNvPr id="65" name="TextBox 64">
          <a:extLst>
            <a:ext uri="{FF2B5EF4-FFF2-40B4-BE49-F238E27FC236}">
              <a16:creationId xmlns:a16="http://schemas.microsoft.com/office/drawing/2014/main" id="{1D794A6F-8FF4-F3F1-EE14-F53BD87C3D45}"/>
            </a:ext>
          </a:extLst>
        </xdr:cNvPr>
        <xdr:cNvSpPr txBox="1"/>
      </xdr:nvSpPr>
      <xdr:spPr>
        <a:xfrm>
          <a:off x="1333501" y="264583"/>
          <a:ext cx="97366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Monthly Report</a:t>
          </a:r>
        </a:p>
        <a:p>
          <a:endParaRPr lang="en-IN" sz="1050"/>
        </a:p>
      </xdr:txBody>
    </xdr:sp>
    <xdr:clientData/>
  </xdr:twoCellAnchor>
  <xdr:twoCellAnchor editAs="absolute">
    <xdr:from>
      <xdr:col>1</xdr:col>
      <xdr:colOff>560917</xdr:colOff>
      <xdr:row>4</xdr:row>
      <xdr:rowOff>105834</xdr:rowOff>
    </xdr:from>
    <xdr:to>
      <xdr:col>3</xdr:col>
      <xdr:colOff>201084</xdr:colOff>
      <xdr:row>5</xdr:row>
      <xdr:rowOff>89958</xdr:rowOff>
    </xdr:to>
    <xdr:sp macro="" textlink="">
      <xdr:nvSpPr>
        <xdr:cNvPr id="66" name="TextBox 65">
          <a:extLst>
            <a:ext uri="{FF2B5EF4-FFF2-40B4-BE49-F238E27FC236}">
              <a16:creationId xmlns:a16="http://schemas.microsoft.com/office/drawing/2014/main" id="{77922D8C-416E-0088-3083-A0E6BA452FF3}"/>
            </a:ext>
          </a:extLst>
        </xdr:cNvPr>
        <xdr:cNvSpPr txBox="1"/>
      </xdr:nvSpPr>
      <xdr:spPr>
        <a:xfrm>
          <a:off x="1169459" y="846667"/>
          <a:ext cx="857250" cy="169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No. Of Patient</a:t>
          </a:r>
        </a:p>
        <a:p>
          <a:endParaRPr lang="en-IN" sz="900" baseline="0"/>
        </a:p>
        <a:p>
          <a:endParaRPr lang="en-IN" sz="1050"/>
        </a:p>
      </xdr:txBody>
    </xdr:sp>
    <xdr:clientData/>
  </xdr:twoCellAnchor>
  <xdr:twoCellAnchor editAs="absolute">
    <xdr:from>
      <xdr:col>4</xdr:col>
      <xdr:colOff>15875</xdr:colOff>
      <xdr:row>3</xdr:row>
      <xdr:rowOff>132291</xdr:rowOff>
    </xdr:from>
    <xdr:to>
      <xdr:col>5</xdr:col>
      <xdr:colOff>264584</xdr:colOff>
      <xdr:row>4</xdr:row>
      <xdr:rowOff>116416</xdr:rowOff>
    </xdr:to>
    <xdr:sp macro="" textlink="'Pivot Report '!A9">
      <xdr:nvSpPr>
        <xdr:cNvPr id="6" name="TextBox 5">
          <a:extLst>
            <a:ext uri="{FF2B5EF4-FFF2-40B4-BE49-F238E27FC236}">
              <a16:creationId xmlns:a16="http://schemas.microsoft.com/office/drawing/2014/main" id="{8D7D498F-71B9-720B-E884-0BE157E70A6B}"/>
            </a:ext>
          </a:extLst>
        </xdr:cNvPr>
        <xdr:cNvSpPr txBox="1"/>
      </xdr:nvSpPr>
      <xdr:spPr>
        <a:xfrm>
          <a:off x="2450042" y="687916"/>
          <a:ext cx="857250" cy="169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EC6C8DC-3C5C-4C73-AFAC-190899728B97}" type="TxLink">
            <a:rPr lang="en-US" sz="1100" b="0" i="0" u="none" strike="noStrike">
              <a:solidFill>
                <a:srgbClr val="000000"/>
              </a:solidFill>
              <a:latin typeface="Calibri"/>
              <a:ea typeface="Calibri"/>
              <a:cs typeface="Calibri"/>
            </a:rPr>
            <a:pPr/>
            <a:t>35.81</a:t>
          </a:fld>
          <a:endParaRPr lang="en-US"/>
        </a:p>
      </xdr:txBody>
    </xdr:sp>
    <xdr:clientData/>
  </xdr:twoCellAnchor>
  <xdr:twoCellAnchor editAs="absolute">
    <xdr:from>
      <xdr:col>3</xdr:col>
      <xdr:colOff>375708</xdr:colOff>
      <xdr:row>4</xdr:row>
      <xdr:rowOff>100542</xdr:rowOff>
    </xdr:from>
    <xdr:to>
      <xdr:col>5</xdr:col>
      <xdr:colOff>74083</xdr:colOff>
      <xdr:row>5</xdr:row>
      <xdr:rowOff>68792</xdr:rowOff>
    </xdr:to>
    <xdr:sp macro="" textlink="">
      <xdr:nvSpPr>
        <xdr:cNvPr id="10" name="TextBox 9">
          <a:extLst>
            <a:ext uri="{FF2B5EF4-FFF2-40B4-BE49-F238E27FC236}">
              <a16:creationId xmlns:a16="http://schemas.microsoft.com/office/drawing/2014/main" id="{83FE733D-9465-4050-4676-8ABBEAA0D182}"/>
            </a:ext>
          </a:extLst>
        </xdr:cNvPr>
        <xdr:cNvSpPr txBox="1"/>
      </xdr:nvSpPr>
      <xdr:spPr>
        <a:xfrm>
          <a:off x="2201333" y="841375"/>
          <a:ext cx="915458" cy="15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Average Wait time</a:t>
          </a:r>
        </a:p>
        <a:p>
          <a:endParaRPr lang="en-IN" sz="1050"/>
        </a:p>
      </xdr:txBody>
    </xdr:sp>
    <xdr:clientData/>
  </xdr:twoCellAnchor>
  <xdr:twoCellAnchor editAs="absolute">
    <xdr:from>
      <xdr:col>5</xdr:col>
      <xdr:colOff>592668</xdr:colOff>
      <xdr:row>3</xdr:row>
      <xdr:rowOff>116417</xdr:rowOff>
    </xdr:from>
    <xdr:to>
      <xdr:col>7</xdr:col>
      <xdr:colOff>232834</xdr:colOff>
      <xdr:row>4</xdr:row>
      <xdr:rowOff>100542</xdr:rowOff>
    </xdr:to>
    <xdr:sp macro="" textlink="'Pivot Report '!A13">
      <xdr:nvSpPr>
        <xdr:cNvPr id="11" name="TextBox 10">
          <a:extLst>
            <a:ext uri="{FF2B5EF4-FFF2-40B4-BE49-F238E27FC236}">
              <a16:creationId xmlns:a16="http://schemas.microsoft.com/office/drawing/2014/main" id="{0972B1F6-403D-4987-06A2-68301208B551}"/>
            </a:ext>
          </a:extLst>
        </xdr:cNvPr>
        <xdr:cNvSpPr txBox="1"/>
      </xdr:nvSpPr>
      <xdr:spPr>
        <a:xfrm>
          <a:off x="3635376" y="672042"/>
          <a:ext cx="857250" cy="169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EC8B356-9E7B-4CE9-A274-6DEEB9EC776B}" type="TxLink">
            <a:rPr lang="en-US" sz="1100" b="0" i="0" u="none" strike="noStrike">
              <a:solidFill>
                <a:srgbClr val="000000"/>
              </a:solidFill>
              <a:latin typeface="Calibri"/>
              <a:ea typeface="Calibri"/>
              <a:cs typeface="Calibri"/>
            </a:rPr>
            <a:pPr/>
            <a:t>5.15</a:t>
          </a:fld>
          <a:endParaRPr lang="en-US"/>
        </a:p>
      </xdr:txBody>
    </xdr:sp>
    <xdr:clientData/>
  </xdr:twoCellAnchor>
  <xdr:twoCellAnchor editAs="absolute">
    <xdr:from>
      <xdr:col>5</xdr:col>
      <xdr:colOff>179918</xdr:colOff>
      <xdr:row>4</xdr:row>
      <xdr:rowOff>105832</xdr:rowOff>
    </xdr:from>
    <xdr:to>
      <xdr:col>7</xdr:col>
      <xdr:colOff>84667</xdr:colOff>
      <xdr:row>5</xdr:row>
      <xdr:rowOff>79375</xdr:rowOff>
    </xdr:to>
    <xdr:sp macro="" textlink="">
      <xdr:nvSpPr>
        <xdr:cNvPr id="12" name="TextBox 11">
          <a:extLst>
            <a:ext uri="{FF2B5EF4-FFF2-40B4-BE49-F238E27FC236}">
              <a16:creationId xmlns:a16="http://schemas.microsoft.com/office/drawing/2014/main" id="{692AE647-6644-8DFD-F429-891D1B5290A4}"/>
            </a:ext>
          </a:extLst>
        </xdr:cNvPr>
        <xdr:cNvSpPr txBox="1"/>
      </xdr:nvSpPr>
      <xdr:spPr>
        <a:xfrm>
          <a:off x="3222626" y="846665"/>
          <a:ext cx="1121833" cy="158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Patient Satisfaction Score</a:t>
          </a:r>
        </a:p>
        <a:p>
          <a:endParaRPr lang="en-IN" sz="1050"/>
        </a:p>
      </xdr:txBody>
    </xdr:sp>
    <xdr:clientData/>
  </xdr:twoCellAnchor>
  <xdr:twoCellAnchor editAs="oneCell">
    <xdr:from>
      <xdr:col>2</xdr:col>
      <xdr:colOff>508000</xdr:colOff>
      <xdr:row>2</xdr:row>
      <xdr:rowOff>174625</xdr:rowOff>
    </xdr:from>
    <xdr:to>
      <xdr:col>3</xdr:col>
      <xdr:colOff>206371</xdr:colOff>
      <xdr:row>4</xdr:row>
      <xdr:rowOff>52918</xdr:rowOff>
    </xdr:to>
    <xdr:pic>
      <xdr:nvPicPr>
        <xdr:cNvPr id="23" name="Graphic 22" descr="Male profile with solid fill">
          <a:extLst>
            <a:ext uri="{FF2B5EF4-FFF2-40B4-BE49-F238E27FC236}">
              <a16:creationId xmlns:a16="http://schemas.microsoft.com/office/drawing/2014/main" id="{B586B550-82DD-B8A6-E502-DC53FC16A5E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25083" y="545042"/>
          <a:ext cx="306913" cy="248709"/>
        </a:xfrm>
        <a:prstGeom prst="rect">
          <a:avLst/>
        </a:prstGeom>
      </xdr:spPr>
    </xdr:pic>
    <xdr:clientData/>
  </xdr:twoCellAnchor>
  <xdr:twoCellAnchor editAs="oneCell">
    <xdr:from>
      <xdr:col>4</xdr:col>
      <xdr:colOff>523875</xdr:colOff>
      <xdr:row>3</xdr:row>
      <xdr:rowOff>5289</xdr:rowOff>
    </xdr:from>
    <xdr:to>
      <xdr:col>5</xdr:col>
      <xdr:colOff>137584</xdr:colOff>
      <xdr:row>4</xdr:row>
      <xdr:rowOff>79375</xdr:rowOff>
    </xdr:to>
    <xdr:pic>
      <xdr:nvPicPr>
        <xdr:cNvPr id="28" name="Graphic 27" descr="Hourglass Finished with solid fill">
          <a:extLst>
            <a:ext uri="{FF2B5EF4-FFF2-40B4-BE49-F238E27FC236}">
              <a16:creationId xmlns:a16="http://schemas.microsoft.com/office/drawing/2014/main" id="{5B465859-2822-24A9-A802-B1BEFE17295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V="1">
          <a:off x="2958042" y="560914"/>
          <a:ext cx="222250" cy="259294"/>
        </a:xfrm>
        <a:prstGeom prst="rect">
          <a:avLst/>
        </a:prstGeom>
      </xdr:spPr>
    </xdr:pic>
    <xdr:clientData/>
  </xdr:twoCellAnchor>
  <xdr:twoCellAnchor editAs="oneCell">
    <xdr:from>
      <xdr:col>6</xdr:col>
      <xdr:colOff>439208</xdr:colOff>
      <xdr:row>2</xdr:row>
      <xdr:rowOff>164041</xdr:rowOff>
    </xdr:from>
    <xdr:to>
      <xdr:col>7</xdr:col>
      <xdr:colOff>100540</xdr:colOff>
      <xdr:row>4</xdr:row>
      <xdr:rowOff>42335</xdr:rowOff>
    </xdr:to>
    <xdr:pic>
      <xdr:nvPicPr>
        <xdr:cNvPr id="30" name="Graphic 29" descr="Star with solid fill">
          <a:extLst>
            <a:ext uri="{FF2B5EF4-FFF2-40B4-BE49-F238E27FC236}">
              <a16:creationId xmlns:a16="http://schemas.microsoft.com/office/drawing/2014/main" id="{CCC29569-F40A-ABDC-1AA1-7A50614AF25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90458" y="534458"/>
          <a:ext cx="269874" cy="248710"/>
        </a:xfrm>
        <a:prstGeom prst="rect">
          <a:avLst/>
        </a:prstGeom>
      </xdr:spPr>
    </xdr:pic>
    <xdr:clientData/>
  </xdr:twoCellAnchor>
  <xdr:twoCellAnchor editAs="oneCell">
    <xdr:from>
      <xdr:col>0</xdr:col>
      <xdr:colOff>58208</xdr:colOff>
      <xdr:row>2</xdr:row>
      <xdr:rowOff>169333</xdr:rowOff>
    </xdr:from>
    <xdr:to>
      <xdr:col>1</xdr:col>
      <xdr:colOff>222250</xdr:colOff>
      <xdr:row>15</xdr:row>
      <xdr:rowOff>121709</xdr:rowOff>
    </xdr:to>
    <mc:AlternateContent xmlns:mc="http://schemas.openxmlformats.org/markup-compatibility/2006" xmlns:a14="http://schemas.microsoft.com/office/drawing/2010/main">
      <mc:Choice Requires="a14">
        <xdr:graphicFrame macro="">
          <xdr:nvGraphicFramePr>
            <xdr:cNvPr id="31" name="Date (Month)">
              <a:extLst>
                <a:ext uri="{FF2B5EF4-FFF2-40B4-BE49-F238E27FC236}">
                  <a16:creationId xmlns:a16="http://schemas.microsoft.com/office/drawing/2014/main" id="{CDBE88AE-482D-4E0A-BCD2-9937C51DDAE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8208" y="539750"/>
              <a:ext cx="772584" cy="2386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264583</xdr:colOff>
      <xdr:row>4</xdr:row>
      <xdr:rowOff>148166</xdr:rowOff>
    </xdr:from>
    <xdr:to>
      <xdr:col>3</xdr:col>
      <xdr:colOff>185208</xdr:colOff>
      <xdr:row>6</xdr:row>
      <xdr:rowOff>185208</xdr:rowOff>
    </xdr:to>
    <xdr:graphicFrame macro="">
      <xdr:nvGraphicFramePr>
        <xdr:cNvPr id="16" name="Chart 15">
          <a:hlinkClick xmlns:r="http://schemas.openxmlformats.org/officeDocument/2006/relationships" r:id="rId8"/>
          <a:extLst>
            <a:ext uri="{FF2B5EF4-FFF2-40B4-BE49-F238E27FC236}">
              <a16:creationId xmlns:a16="http://schemas.microsoft.com/office/drawing/2014/main" id="{5C197910-81BA-D2CC-6171-5F9736715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179916</xdr:colOff>
      <xdr:row>5</xdr:row>
      <xdr:rowOff>21167</xdr:rowOff>
    </xdr:from>
    <xdr:to>
      <xdr:col>5</xdr:col>
      <xdr:colOff>179916</xdr:colOff>
      <xdr:row>8</xdr:row>
      <xdr:rowOff>132291</xdr:rowOff>
    </xdr:to>
    <xdr:graphicFrame macro="">
      <xdr:nvGraphicFramePr>
        <xdr:cNvPr id="9" name="Chart 8">
          <a:hlinkClick xmlns:r="http://schemas.openxmlformats.org/officeDocument/2006/relationships" r:id="rId10"/>
          <a:extLst>
            <a:ext uri="{FF2B5EF4-FFF2-40B4-BE49-F238E27FC236}">
              <a16:creationId xmlns:a16="http://schemas.microsoft.com/office/drawing/2014/main" id="{DB2B5D22-845C-42FE-A2F6-7A50FA59B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132292</xdr:colOff>
      <xdr:row>5</xdr:row>
      <xdr:rowOff>47625</xdr:rowOff>
    </xdr:from>
    <xdr:to>
      <xdr:col>7</xdr:col>
      <xdr:colOff>89958</xdr:colOff>
      <xdr:row>7</xdr:row>
      <xdr:rowOff>74084</xdr:rowOff>
    </xdr:to>
    <xdr:graphicFrame macro="">
      <xdr:nvGraphicFramePr>
        <xdr:cNvPr id="17" name="Chart 16">
          <a:hlinkClick xmlns:r="http://schemas.openxmlformats.org/officeDocument/2006/relationships" r:id="rId12"/>
          <a:extLst>
            <a:ext uri="{FF2B5EF4-FFF2-40B4-BE49-F238E27FC236}">
              <a16:creationId xmlns:a16="http://schemas.microsoft.com/office/drawing/2014/main" id="{5E26136D-86FA-49E0-8EDF-BECEBBD64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259291</xdr:colOff>
          <xdr:row>7</xdr:row>
          <xdr:rowOff>26458</xdr:rowOff>
        </xdr:from>
        <xdr:to>
          <xdr:col>7</xdr:col>
          <xdr:colOff>79375</xdr:colOff>
          <xdr:row>10</xdr:row>
          <xdr:rowOff>11282</xdr:rowOff>
        </xdr:to>
        <xdr:pic>
          <xdr:nvPicPr>
            <xdr:cNvPr id="27" name="Picture 26">
              <a:extLst>
                <a:ext uri="{FF2B5EF4-FFF2-40B4-BE49-F238E27FC236}">
                  <a16:creationId xmlns:a16="http://schemas.microsoft.com/office/drawing/2014/main" id="{4E632EA2-A324-96B3-2EE8-5ADAF7EEBF78}"/>
                </a:ext>
              </a:extLst>
            </xdr:cNvPr>
            <xdr:cNvPicPr>
              <a:picLocks noChangeAspect="1" noChangeArrowheads="1"/>
              <a:extLst>
                <a:ext uri="{84589F7E-364E-4C9E-8A38-B11213B215E9}">
                  <a14:cameraTool cellRange="'Pivot Report '!$A$49:$D$51" spid="_x0000_s1047"/>
                </a:ext>
              </a:extLst>
            </xdr:cNvPicPr>
          </xdr:nvPicPr>
          <xdr:blipFill>
            <a:blip xmlns:r="http://schemas.openxmlformats.org/officeDocument/2006/relationships" r:embed="rId14"/>
            <a:srcRect/>
            <a:stretch>
              <a:fillRect/>
            </a:stretch>
          </xdr:blipFill>
          <xdr:spPr bwMode="auto">
            <a:xfrm>
              <a:off x="867833" y="1349375"/>
              <a:ext cx="3471334" cy="54044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201081</xdr:colOff>
      <xdr:row>10</xdr:row>
      <xdr:rowOff>5291</xdr:rowOff>
    </xdr:from>
    <xdr:to>
      <xdr:col>7</xdr:col>
      <xdr:colOff>370416</xdr:colOff>
      <xdr:row>15</xdr:row>
      <xdr:rowOff>86782</xdr:rowOff>
    </xdr:to>
    <xdr:graphicFrame macro="">
      <xdr:nvGraphicFramePr>
        <xdr:cNvPr id="21" name="Chart 20">
          <a:extLst>
            <a:ext uri="{FF2B5EF4-FFF2-40B4-BE49-F238E27FC236}">
              <a16:creationId xmlns:a16="http://schemas.microsoft.com/office/drawing/2014/main" id="{C8E69F17-391B-4249-B96F-C11B79D05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158749</xdr:colOff>
      <xdr:row>15</xdr:row>
      <xdr:rowOff>15877</xdr:rowOff>
    </xdr:from>
    <xdr:to>
      <xdr:col>5</xdr:col>
      <xdr:colOff>322791</xdr:colOff>
      <xdr:row>15</xdr:row>
      <xdr:rowOff>142876</xdr:rowOff>
    </xdr:to>
    <xdr:sp macro="" textlink="">
      <xdr:nvSpPr>
        <xdr:cNvPr id="29" name="TextBox 28">
          <a:extLst>
            <a:ext uri="{FF2B5EF4-FFF2-40B4-BE49-F238E27FC236}">
              <a16:creationId xmlns:a16="http://schemas.microsoft.com/office/drawing/2014/main" id="{C32A6D92-4682-CDC4-8853-C2E36980C4C2}"/>
            </a:ext>
          </a:extLst>
        </xdr:cNvPr>
        <xdr:cNvSpPr txBox="1"/>
      </xdr:nvSpPr>
      <xdr:spPr>
        <a:xfrm>
          <a:off x="1984374" y="2820460"/>
          <a:ext cx="1381125" cy="126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No. of Patient by Age Group</a:t>
          </a:r>
          <a:endParaRPr lang="en-IN" sz="1050"/>
        </a:p>
      </xdr:txBody>
    </xdr:sp>
    <xdr:clientData/>
  </xdr:twoCellAnchor>
  <xdr:twoCellAnchor>
    <xdr:from>
      <xdr:col>6</xdr:col>
      <xdr:colOff>375709</xdr:colOff>
      <xdr:row>0</xdr:row>
      <xdr:rowOff>31751</xdr:rowOff>
    </xdr:from>
    <xdr:to>
      <xdr:col>9</xdr:col>
      <xdr:colOff>259292</xdr:colOff>
      <xdr:row>7</xdr:row>
      <xdr:rowOff>1</xdr:rowOff>
    </xdr:to>
    <xdr:graphicFrame macro="">
      <xdr:nvGraphicFramePr>
        <xdr:cNvPr id="32" name="Chart 31">
          <a:extLst>
            <a:ext uri="{FF2B5EF4-FFF2-40B4-BE49-F238E27FC236}">
              <a16:creationId xmlns:a16="http://schemas.microsoft.com/office/drawing/2014/main" id="{CC198E9B-2A90-43FB-869F-4E3E199DE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550333</xdr:colOff>
      <xdr:row>0</xdr:row>
      <xdr:rowOff>0</xdr:rowOff>
    </xdr:from>
    <xdr:to>
      <xdr:col>12</xdr:col>
      <xdr:colOff>211667</xdr:colOff>
      <xdr:row>7</xdr:row>
      <xdr:rowOff>5291</xdr:rowOff>
    </xdr:to>
    <xdr:graphicFrame macro="">
      <xdr:nvGraphicFramePr>
        <xdr:cNvPr id="34" name="Chart 33">
          <a:extLst>
            <a:ext uri="{FF2B5EF4-FFF2-40B4-BE49-F238E27FC236}">
              <a16:creationId xmlns:a16="http://schemas.microsoft.com/office/drawing/2014/main" id="{002DFF2B-9457-467E-8391-937E88F5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402167</xdr:colOff>
      <xdr:row>6</xdr:row>
      <xdr:rowOff>15876</xdr:rowOff>
    </xdr:from>
    <xdr:to>
      <xdr:col>11</xdr:col>
      <xdr:colOff>423334</xdr:colOff>
      <xdr:row>6</xdr:row>
      <xdr:rowOff>148167</xdr:rowOff>
    </xdr:to>
    <xdr:sp macro="" textlink="">
      <xdr:nvSpPr>
        <xdr:cNvPr id="8" name="TextBox 7">
          <a:extLst>
            <a:ext uri="{FF2B5EF4-FFF2-40B4-BE49-F238E27FC236}">
              <a16:creationId xmlns:a16="http://schemas.microsoft.com/office/drawing/2014/main" id="{95CFD1A2-0D06-6282-B69A-B84CECB5C6D8}"/>
            </a:ext>
          </a:extLst>
        </xdr:cNvPr>
        <xdr:cNvSpPr txBox="1"/>
      </xdr:nvSpPr>
      <xdr:spPr>
        <a:xfrm>
          <a:off x="5879042" y="1153584"/>
          <a:ext cx="1238250" cy="132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aseline="0"/>
            <a:t>Gender Wise Analysis</a:t>
          </a:r>
          <a:endParaRPr lang="en-IN" sz="1000"/>
        </a:p>
      </xdr:txBody>
    </xdr:sp>
    <xdr:clientData/>
  </xdr:twoCellAnchor>
  <xdr:twoCellAnchor>
    <xdr:from>
      <xdr:col>7</xdr:col>
      <xdr:colOff>190499</xdr:colOff>
      <xdr:row>7</xdr:row>
      <xdr:rowOff>84666</xdr:rowOff>
    </xdr:from>
    <xdr:to>
      <xdr:col>11</xdr:col>
      <xdr:colOff>248708</xdr:colOff>
      <xdr:row>14</xdr:row>
      <xdr:rowOff>153458</xdr:rowOff>
    </xdr:to>
    <xdr:graphicFrame macro="">
      <xdr:nvGraphicFramePr>
        <xdr:cNvPr id="22" name="Chart 21">
          <a:extLst>
            <a:ext uri="{FF2B5EF4-FFF2-40B4-BE49-F238E27FC236}">
              <a16:creationId xmlns:a16="http://schemas.microsoft.com/office/drawing/2014/main" id="{B9C5A2F0-07D7-43EE-B274-D1F16C845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5292</xdr:colOff>
      <xdr:row>15</xdr:row>
      <xdr:rowOff>31752</xdr:rowOff>
    </xdr:from>
    <xdr:to>
      <xdr:col>10</xdr:col>
      <xdr:colOff>470958</xdr:colOff>
      <xdr:row>15</xdr:row>
      <xdr:rowOff>121709</xdr:rowOff>
    </xdr:to>
    <xdr:sp macro="" textlink="">
      <xdr:nvSpPr>
        <xdr:cNvPr id="24" name="TextBox 23">
          <a:extLst>
            <a:ext uri="{FF2B5EF4-FFF2-40B4-BE49-F238E27FC236}">
              <a16:creationId xmlns:a16="http://schemas.microsoft.com/office/drawing/2014/main" id="{1BD562B4-7457-DA68-AD3B-5B07CC38EFBC}"/>
            </a:ext>
          </a:extLst>
        </xdr:cNvPr>
        <xdr:cNvSpPr txBox="1"/>
      </xdr:nvSpPr>
      <xdr:spPr>
        <a:xfrm>
          <a:off x="4873625" y="2836335"/>
          <a:ext cx="1682750" cy="89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aseline="0"/>
            <a:t>No. of Patient by Department Referal</a:t>
          </a:r>
        </a:p>
        <a:p>
          <a:endParaRPr lang="en-IN" sz="1050"/>
        </a:p>
      </xdr:txBody>
    </xdr:sp>
    <xdr:clientData/>
  </xdr:twoCellAnchor>
  <xdr:twoCellAnchor editAs="absolute">
    <xdr:from>
      <xdr:col>7</xdr:col>
      <xdr:colOff>317500</xdr:colOff>
      <xdr:row>6</xdr:row>
      <xdr:rowOff>15876</xdr:rowOff>
    </xdr:from>
    <xdr:to>
      <xdr:col>9</xdr:col>
      <xdr:colOff>338667</xdr:colOff>
      <xdr:row>6</xdr:row>
      <xdr:rowOff>148167</xdr:rowOff>
    </xdr:to>
    <xdr:sp macro="" textlink="">
      <xdr:nvSpPr>
        <xdr:cNvPr id="25" name="TextBox 24">
          <a:extLst>
            <a:ext uri="{FF2B5EF4-FFF2-40B4-BE49-F238E27FC236}">
              <a16:creationId xmlns:a16="http://schemas.microsoft.com/office/drawing/2014/main" id="{D2694641-191C-A106-D5AC-D31A2ACA7013}"/>
            </a:ext>
          </a:extLst>
        </xdr:cNvPr>
        <xdr:cNvSpPr txBox="1"/>
      </xdr:nvSpPr>
      <xdr:spPr>
        <a:xfrm>
          <a:off x="4577292" y="1153584"/>
          <a:ext cx="1238250" cy="132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aseline="0"/>
            <a:t>Patient attend status</a:t>
          </a:r>
        </a:p>
        <a:p>
          <a:endParaRPr lang="en-IN" sz="1050"/>
        </a:p>
      </xdr:txBody>
    </xdr:sp>
    <xdr:clientData/>
  </xdr:twoCellAnchor>
  <xdr:twoCellAnchor editAs="oneCell">
    <xdr:from>
      <xdr:col>5</xdr:col>
      <xdr:colOff>238125</xdr:colOff>
      <xdr:row>0</xdr:row>
      <xdr:rowOff>15875</xdr:rowOff>
    </xdr:from>
    <xdr:to>
      <xdr:col>7</xdr:col>
      <xdr:colOff>68790</xdr:colOff>
      <xdr:row>2</xdr:row>
      <xdr:rowOff>148166</xdr:rowOff>
    </xdr:to>
    <mc:AlternateContent xmlns:mc="http://schemas.openxmlformats.org/markup-compatibility/2006" xmlns:a14="http://schemas.microsoft.com/office/drawing/2010/main">
      <mc:Choice Requires="a14">
        <xdr:graphicFrame macro="">
          <xdr:nvGraphicFramePr>
            <xdr:cNvPr id="26" name="Date (Year)">
              <a:extLst>
                <a:ext uri="{FF2B5EF4-FFF2-40B4-BE49-F238E27FC236}">
                  <a16:creationId xmlns:a16="http://schemas.microsoft.com/office/drawing/2014/main" id="{4D42372C-D792-404E-A080-399283883C3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80833" y="15875"/>
              <a:ext cx="1047749" cy="502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63500</xdr:colOff>
      <xdr:row>0</xdr:row>
      <xdr:rowOff>12700</xdr:rowOff>
    </xdr:from>
    <xdr:to>
      <xdr:col>15</xdr:col>
      <xdr:colOff>419100</xdr:colOff>
      <xdr:row>14</xdr:row>
      <xdr:rowOff>63500</xdr:rowOff>
    </xdr:to>
    <xdr:graphicFrame macro="">
      <xdr:nvGraphicFramePr>
        <xdr:cNvPr id="2" name="Chart 1">
          <a:extLst>
            <a:ext uri="{FF2B5EF4-FFF2-40B4-BE49-F238E27FC236}">
              <a16:creationId xmlns:a16="http://schemas.microsoft.com/office/drawing/2014/main" id="{BE2E5D58-56F8-4CC5-B4FA-116F7A66C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0</xdr:rowOff>
    </xdr:from>
    <xdr:to>
      <xdr:col>1</xdr:col>
      <xdr:colOff>69850</xdr:colOff>
      <xdr:row>3</xdr:row>
      <xdr:rowOff>31750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5BFBB585-6C88-8400-8E1A-0B7F72BF43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250" y="0"/>
          <a:ext cx="584200" cy="584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34738</xdr:colOff>
      <xdr:row>0</xdr:row>
      <xdr:rowOff>60512</xdr:rowOff>
    </xdr:from>
    <xdr:to>
      <xdr:col>15</xdr:col>
      <xdr:colOff>434788</xdr:colOff>
      <xdr:row>17</xdr:row>
      <xdr:rowOff>60512</xdr:rowOff>
    </xdr:to>
    <xdr:graphicFrame macro="">
      <xdr:nvGraphicFramePr>
        <xdr:cNvPr id="2" name="Chart 1">
          <a:extLst>
            <a:ext uri="{FF2B5EF4-FFF2-40B4-BE49-F238E27FC236}">
              <a16:creationId xmlns:a16="http://schemas.microsoft.com/office/drawing/2014/main" id="{F543BFCF-85C2-408D-A8E5-F7ECDB983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0.06121</cdr:x>
      <cdr:y>0.18661</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BFBB585-6C88-8400-8E1A-0B7F72BF43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84200" cy="5842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82175</xdr:colOff>
      <xdr:row>0</xdr:row>
      <xdr:rowOff>29883</xdr:rowOff>
    </xdr:from>
    <xdr:to>
      <xdr:col>15</xdr:col>
      <xdr:colOff>597647</xdr:colOff>
      <xdr:row>19</xdr:row>
      <xdr:rowOff>37353</xdr:rowOff>
    </xdr:to>
    <xdr:graphicFrame macro="">
      <xdr:nvGraphicFramePr>
        <xdr:cNvPr id="2" name="Chart 1">
          <a:extLst>
            <a:ext uri="{FF2B5EF4-FFF2-40B4-BE49-F238E27FC236}">
              <a16:creationId xmlns:a16="http://schemas.microsoft.com/office/drawing/2014/main" id="{F9D92849-8D52-42F8-85FA-B693FC788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0.00539</cdr:x>
      <cdr:y>0.01528</cdr:y>
    </cdr:from>
    <cdr:to>
      <cdr:x>0.06764</cdr:x>
      <cdr:y>0.1935</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28458CD-DFEF-E2F9-D783-3B3F03239C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86935" cy="592487"/>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09128703707" createdVersion="5" refreshedVersion="8" minRefreshableVersion="3" recordCount="0" supportSubquery="1" supportAdvancedDrill="1" xr:uid="{EBF00746-1835-4C58-8BA8-C19CB89F1D32}">
  <cacheSource type="external" connectionId="3"/>
  <cacheFields count="2">
    <cacheField name="[Measures].[Average of Patient Satisfaction Score]" caption="Average of Patient Satisfaction Score" numFmtId="0" hierarchy="29" level="32767"/>
    <cacheField name="[Calendar_Table].[Date (Month)].[Date (Month)]" caption="Date (Month)"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13078707" createdVersion="5" refreshedVersion="8" minRefreshableVersion="3" recordCount="0" supportSubquery="1" supportAdvancedDrill="1" xr:uid="{9A0E434D-4CCE-4E7F-BF7C-71B1EB92981C}">
  <cacheSource type="external" connectionId="3"/>
  <cacheFields count="4">
    <cacheField name="[Calendar_Table].[Date (Month)].[Date (Month)]" caption="Date (Month)" numFmtId="0" hierarchy="3"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2" level="1">
      <sharedItems count="1">
        <s v="Qtr1"/>
      </sharedItems>
    </cacheField>
    <cacheField name="[Calendar_Table].[Date (Year)].[Date (Year)]" caption="Date (Year)" numFmtId="0" hierarchy="1"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17592595" createdVersion="5" refreshedVersion="8" minRefreshableVersion="3" recordCount="0" supportSubquery="1" supportAdvancedDrill="1" xr:uid="{8091BBDA-DD4B-4763-9617-CC9A6C248DDC}">
  <cacheSource type="external" connectionId="3"/>
  <cacheFields count="3">
    <cacheField name="[Measures].[Distinct Count of Patient Id]" caption="Distinct Count of Patient Id" numFmtId="0" hierarchy="2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20370373" createdVersion="5" refreshedVersion="8" minRefreshableVersion="3" recordCount="0" supportSubquery="1" supportAdvancedDrill="1" xr:uid="{F8032FBC-AD83-484E-91FC-EE6321865FA6}">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22453706" createdVersion="5" refreshedVersion="8" minRefreshableVersion="3" recordCount="0" supportSubquery="1" supportAdvancedDrill="1" xr:uid="{89E21AB4-5350-48DB-9ACC-0BCF64AB35A1}">
  <cacheSource type="external" connectionId="3"/>
  <cacheFields count="4">
    <cacheField name="[Calenda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25694446" createdVersion="5" refreshedVersion="8" minRefreshableVersion="3" recordCount="0" supportSubquery="1" supportAdvancedDrill="1" xr:uid="{B0CB533E-1BA7-423B-846A-7AAE1D47BDD1}">
  <cacheSource type="external" connectionId="3"/>
  <cacheFields count="4">
    <cacheField name="[Measures].[Distinct Count of Patient Id]" caption="Distinct Count of Patient Id" numFmtId="0" hierarchy="24" level="32767"/>
    <cacheField name="[Calenda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28703702" createdVersion="5" refreshedVersion="8" minRefreshableVersion="3" recordCount="0" supportSubquery="1" supportAdvancedDrill="1" xr:uid="{0BD0C832-3563-4052-A915-4DCC40AA44F3}">
  <cacheSource type="external" connectionId="3"/>
  <cacheFields count="4">
    <cacheField name="[Calenda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31365742" createdVersion="5" refreshedVersion="8" minRefreshableVersion="3" recordCount="0" supportSubquery="1" supportAdvancedDrill="1" xr:uid="{258A9441-051E-4774-8719-E64FECF00481}">
  <cacheSource type="external" connectionId="3"/>
  <cacheFields count="3">
    <cacheField name="[Measures].[Average of Patient Waittime]" caption="Average of Patient Waittime" numFmtId="0" hierarchy="26"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34143521" createdVersion="5" refreshedVersion="8" minRefreshableVersion="3" recordCount="0" supportSubquery="1" supportAdvancedDrill="1" xr:uid="{F9FC4CDD-E33F-4580-8A82-C2522F5BC9A8}">
  <cacheSource type="external" connectionId="3"/>
  <cacheFields count="4">
    <cacheField name="[Calenda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37037038" createdVersion="5" refreshedVersion="8" minRefreshableVersion="3" recordCount="0" supportSubquery="1" supportAdvancedDrill="1" xr:uid="{220E8108-B8AC-4C74-8980-E8A1EF4322CC}">
  <cacheSource type="external" connectionId="3"/>
  <cacheFields count="5">
    <cacheField name="[Calendar_Table].[Date (Month)].[Date (Month)]" caption="Date (Month)" numFmtId="0" hierarchy="3"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dmitted"/>
        <s v="Not Addmitted"/>
      </sharedItems>
    </cacheField>
    <cacheField name="[Calendar_Table].[Date (Year)].[Date (Year)]" caption="Date (Year)" numFmtId="0" hierarchy="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40046294" createdVersion="5" refreshedVersion="8" minRefreshableVersion="3" recordCount="0" supportSubquery="1" supportAdvancedDrill="1" xr:uid="{611814AB-EB93-4853-9C28-E110290AD5E2}">
  <cacheSource type="external" connectionId="3"/>
  <cacheFields count="4">
    <cacheField name="[Calendar_Table].[Date (Month)].[Date (Month)]" caption="Date (Month)" numFmtId="0" hierarchy="3" level="1">
      <sharedItems containsSemiMixedTypes="0" containsNonDate="0" containsString="0"/>
    </cacheField>
    <cacheField name="[Hospital Emergency Room Data].[Age Group].[Age Group]" caption="Age Group" numFmtId="0" hierarchy="16" level="1">
      <sharedItems count="7">
        <s v="0-09"/>
        <s v="10-19"/>
        <s v="20-29"/>
        <s v="30-39"/>
        <s v="40-49"/>
        <s v="60-69"/>
        <s v="70-79"/>
      </sharedItems>
    </cacheField>
    <cacheField name="[Measures].[Count of Age Group]" caption="Count of Age Group" numFmtId="0" hierarchy="32"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9.515943171296" createdVersion="5" refreshedVersion="8" minRefreshableVersion="3" recordCount="0" supportSubquery="1" supportAdvancedDrill="1" xr:uid="{56177E14-33E6-4959-BAC2-2D59CB918943}">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AGARWAL" refreshedDate="46247.527718981481" createdVersion="3" refreshedVersion="8" minRefreshableVersion="3" recordCount="0" supportSubquery="1" supportAdvancedDrill="1" xr:uid="{C4F5C8B7-31D0-4409-9361-0EBA52EA4F99}">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694602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524B69-5E1A-42DA-A292-AE3F529BB506}" name="PivotTable6" cacheId="8"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45">
  <location ref="L7:M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0">
      <pivotArea outline="0" collapsedLevelsAreSubtotals="1" fieldPosition="0"/>
    </format>
  </formats>
  <chartFormats count="5">
    <chartFormat chart="32"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Distinct Count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9D4215-4811-43BD-BAD0-0D7EF0A5856C}" name="PivotTable5" cacheId="0"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5">
    <pivotHierarchy dragToData="1"/>
    <pivotHierarchy dragToData="1"/>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0979F-DB07-491F-831D-64CD24C12EC6}" name="PivotTable4" cacheId="7"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
      <pivotArea outline="0" collapsedLevelsAreSubtotals="1" fieldPosition="0"/>
    </format>
  </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BA5853-0CAD-4C22-A348-F17C3F8BDD05}" name="PivotTable2" cacheId="5"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19">
  <location ref="D7:E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9">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Distinct Count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88E99F-4CEC-4A59-AC62-2AB327AB02F6}" name="PivotTable12" cacheId="1"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61">
  <location ref="A99:A10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
      <pivotArea outline="0" collapsedLevelsAreSubtotals="1" fieldPosition="0"/>
    </format>
  </formats>
  <pivotHierarchies count="35">
    <pivotHierarchy dragToData="1"/>
    <pivotHierarchy multipleItemSelectionAllowed="1" dragToData="1"/>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567FEA-137C-4190-956A-977B45C8ED7A}" name="PivotTable9" cacheId="11"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53">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4">
      <pivotArea outline="0" collapsedLevelsAreSubtotals="1" fieldPosition="0"/>
    </format>
  </formats>
  <chartFormats count="3">
    <chartFormat chart="49" format="4" series="1">
      <pivotArea type="data" outline="0" fieldPosition="0">
        <references count="1">
          <reference field="4294967294" count="1" selected="0">
            <x v="0"/>
          </reference>
        </references>
      </pivotArea>
    </chartFormat>
    <chartFormat chart="49" format="5">
      <pivotArea type="data" outline="0" fieldPosition="0">
        <references count="2">
          <reference field="4294967294" count="1" selected="0">
            <x v="0"/>
          </reference>
          <reference field="1" count="1" selected="0">
            <x v="0"/>
          </reference>
        </references>
      </pivotArea>
    </chartFormat>
    <chartFormat chart="4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4E8C52-45A5-4F84-8953-5415110E7767}" name="PivotTable11" cacheId="4"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66">
  <location ref="A80:B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1">
    <format dxfId="5">
      <pivotArea outline="0" collapsedLevelsAreSubtotals="1" fieldPosition="0"/>
    </format>
  </formats>
  <chartFormats count="9">
    <chartFormat chart="65" format="2" series="1">
      <pivotArea type="data" outline="0" fieldPosition="0">
        <references count="1">
          <reference field="4294967294" count="1" selected="0">
            <x v="0"/>
          </reference>
        </references>
      </pivotArea>
    </chartFormat>
    <chartFormat chart="65" format="3">
      <pivotArea type="data" outline="0" fieldPosition="0">
        <references count="2">
          <reference field="4294967294" count="1" selected="0">
            <x v="0"/>
          </reference>
          <reference field="1" count="1" selected="0">
            <x v="4"/>
          </reference>
        </references>
      </pivotArea>
    </chartFormat>
    <chartFormat chart="65" format="4" series="1">
      <pivotArea type="data" outline="0" fieldPosition="0">
        <references count="2">
          <reference field="4294967294" count="1" selected="0">
            <x v="0"/>
          </reference>
          <reference field="1" count="1" selected="0">
            <x v="3"/>
          </reference>
        </references>
      </pivotArea>
    </chartFormat>
    <chartFormat chart="65" format="5" series="1">
      <pivotArea type="data" outline="0" fieldPosition="0">
        <references count="2">
          <reference field="4294967294" count="1" selected="0">
            <x v="0"/>
          </reference>
          <reference field="1" count="1" selected="0">
            <x v="1"/>
          </reference>
        </references>
      </pivotArea>
    </chartFormat>
    <chartFormat chart="65" format="6" series="1">
      <pivotArea type="data" outline="0" fieldPosition="0">
        <references count="2">
          <reference field="4294967294" count="1" selected="0">
            <x v="0"/>
          </reference>
          <reference field="1" count="1" selected="0">
            <x v="0"/>
          </reference>
        </references>
      </pivotArea>
    </chartFormat>
    <chartFormat chart="65" format="7" series="1">
      <pivotArea type="data" outline="0" fieldPosition="0">
        <references count="2">
          <reference field="4294967294" count="1" selected="0">
            <x v="0"/>
          </reference>
          <reference field="1" count="1" selected="0">
            <x v="6"/>
          </reference>
        </references>
      </pivotArea>
    </chartFormat>
    <chartFormat chart="65" format="8" series="1">
      <pivotArea type="data" outline="0" fieldPosition="0">
        <references count="2">
          <reference field="4294967294" count="1" selected="0">
            <x v="0"/>
          </reference>
          <reference field="1" count="1" selected="0">
            <x v="5"/>
          </reference>
        </references>
      </pivotArea>
    </chartFormat>
    <chartFormat chart="65" format="9" series="1">
      <pivotArea type="data" outline="0" fieldPosition="0">
        <references count="2">
          <reference field="4294967294" count="1" selected="0">
            <x v="0"/>
          </reference>
          <reference field="1" count="1" selected="0">
            <x v="2"/>
          </reference>
        </references>
      </pivotArea>
    </chartFormat>
    <chartFormat chart="65" format="10" series="1">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5179E3-5DD8-4A9B-B316-34144002048F}" name="PivotTable7" cacheId="9"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29">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9">
      <pivotArea outline="0" collapsedLevelsAreSubtotals="1" fieldPosition="0"/>
    </format>
    <format dxfId="8">
      <pivotArea outline="0" fieldPosition="0">
        <references count="1">
          <reference field="4294967294" count="1">
            <x v="1"/>
          </reference>
        </references>
      </pivotArea>
    </format>
    <format dxfId="7">
      <pivotArea collapsedLevelsAreSubtotals="1" fieldPosition="0">
        <references count="2">
          <reference field="4294967294" count="1" selected="0">
            <x v="0"/>
          </reference>
          <reference field="2" count="1">
            <x v="0"/>
          </reference>
        </references>
      </pivotArea>
    </format>
    <format dxfId="6">
      <pivotArea collapsedLevelsAreSubtotals="1" fieldPosition="0">
        <references count="2">
          <reference field="4294967294" count="1" selected="0">
            <x v="0"/>
          </reference>
          <reference field="2"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333A31-AE62-4D30-A9E9-40296899DCF9}" name="PivotTable10" cacheId="3"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61">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0">
      <pivotArea outline="0" collapsedLevelsAreSubtotals="1" fieldPosition="0"/>
    </format>
  </formats>
  <chartFormats count="11">
    <chartFormat chart="51"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 chart="57" format="2">
      <pivotArea type="data" outline="0" fieldPosition="0">
        <references count="2">
          <reference field="4294967294" count="1" selected="0">
            <x v="0"/>
          </reference>
          <reference field="1" count="1" selected="0">
            <x v="0"/>
          </reference>
        </references>
      </pivotArea>
    </chartFormat>
    <chartFormat chart="57" format="3">
      <pivotArea type="data" outline="0" fieldPosition="0">
        <references count="2">
          <reference field="4294967294" count="1" selected="0">
            <x v="0"/>
          </reference>
          <reference field="1" count="1" selected="0">
            <x v="1"/>
          </reference>
        </references>
      </pivotArea>
    </chartFormat>
    <chartFormat chart="58" format="4" series="1">
      <pivotArea type="data" outline="0" fieldPosition="0">
        <references count="1">
          <reference field="4294967294" count="1" selected="0">
            <x v="0"/>
          </reference>
        </references>
      </pivotArea>
    </chartFormat>
    <chartFormat chart="58" format="5">
      <pivotArea type="data" outline="0" fieldPosition="0">
        <references count="2">
          <reference field="4294967294" count="1" selected="0">
            <x v="0"/>
          </reference>
          <reference field="1" count="1" selected="0">
            <x v="0"/>
          </reference>
        </references>
      </pivotArea>
    </chartFormat>
    <chartFormat chart="58" format="6">
      <pivotArea type="data" outline="0" fieldPosition="0">
        <references count="2">
          <reference field="4294967294" count="1" selected="0">
            <x v="0"/>
          </reference>
          <reference field="1" count="1" selected="0">
            <x v="1"/>
          </reference>
        </references>
      </pivotArea>
    </chartFormat>
    <chartFormat chart="59" format="4" series="1">
      <pivotArea type="data" outline="0" fieldPosition="0">
        <references count="1">
          <reference field="4294967294" count="1" selected="0">
            <x v="0"/>
          </reference>
        </references>
      </pivotArea>
    </chartFormat>
    <chartFormat chart="59" format="5">
      <pivotArea type="data" outline="0" fieldPosition="0">
        <references count="2">
          <reference field="4294967294" count="1" selected="0">
            <x v="0"/>
          </reference>
          <reference field="1" count="1" selected="0">
            <x v="0"/>
          </reference>
        </references>
      </pivotArea>
    </chartFormat>
    <chartFormat chart="5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868006-6FF8-4C96-9616-1495FA3B3A9F}" name="PivotTable8" cacheId="10"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45">
  <location ref="A55: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numFmtId="1"/>
  </dataFields>
  <formats count="1">
    <format dxfId="11">
      <pivotArea outline="0" collapsedLevelsAreSubtotals="1" fieldPosition="0"/>
    </format>
  </formats>
  <chartFormats count="5">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831587-CA62-43FB-8B4B-D7640097B58F}" name="PivotTable3" cacheId="6"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chartFormat="32">
  <location ref="I7:J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2">
      <pivotArea outline="0" collapsedLevelsAreSubtotals="1" fieldPosition="0"/>
    </format>
  </formats>
  <chartFormats count="3">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Distinct Count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FED103-7561-40C1-BFFE-BA023790B02B}" name="PivotTable1" cacheId="2" applyNumberFormats="0" applyBorderFormats="0" applyFontFormats="0" applyPatternFormats="0" applyAlignmentFormats="0" applyWidthHeightFormats="1" dataCaption="Values" tag="54da4ea6-be76-4a54-b3e4-e56c59a2695b"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Distinct Count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F62A1AD-F393-428B-9071-97B9DC3EABEB}" sourceName="[Calendar_Table].[Date (Month)]">
  <pivotTables>
    <pivotTable tabId="1" name="PivotTable2"/>
    <pivotTable tabId="1" name="PivotTable1"/>
    <pivotTable tabId="1" name="PivotTable4"/>
    <pivotTable tabId="1" name="PivotTable5"/>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s>
  <data>
    <olap pivotCacheId="86946029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51782B1-FE28-4C92-8BFB-2ECBC0F0B64A}"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6"/>
    <pivotTable tabId="1" name="PivotTable7"/>
    <pivotTable tabId="1" name="PivotTable8"/>
    <pivotTable tabId="1" name="PivotTable9"/>
  </pivotTables>
  <data>
    <olap pivotCacheId="86946029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E4BD67-5CC8-4325-90DD-3A5832541B88}" cache="Slicer_Date__Month" caption="Date (Month)" showCaption="0" level="1" style="My Style" rowHeight="162000"/>
  <slicer name="Date (Year)" xr10:uid="{80736F5E-289E-40CF-82C9-0D4B5169D122}"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5463E-56D3-4DCB-AC82-70D7824889A6}">
  <dimension ref="A3:M101"/>
  <sheetViews>
    <sheetView topLeftCell="A90" zoomScale="95" zoomScaleNormal="95" workbookViewId="0">
      <selection activeCell="A100" sqref="A100"/>
      <pivotSelection pane="bottomRight" showHeader="1" axis="axisRow" activeRow="99" previousRow="99" click="1" r:id="rId5">
        <pivotArea dataOnly="0" labelOnly="1" fieldPosition="0">
          <references count="1">
            <reference field="3" count="0"/>
          </references>
        </pivotArea>
      </pivotSelection>
    </sheetView>
  </sheetViews>
  <sheetFormatPr defaultRowHeight="14.5" x14ac:dyDescent="0.35"/>
  <cols>
    <col min="1" max="1" width="15.6328125" customWidth="1"/>
    <col min="2" max="2" width="11.54296875" customWidth="1"/>
    <col min="3" max="3" width="9.453125" customWidth="1"/>
    <col min="4" max="4" width="13.81640625" customWidth="1"/>
    <col min="10" max="10" width="24.90625" bestFit="1" customWidth="1"/>
    <col min="12" max="12" width="12.6328125" bestFit="1" customWidth="1"/>
    <col min="13" max="13" width="24.90625" bestFit="1" customWidth="1"/>
  </cols>
  <sheetData>
    <row r="3" spans="1:13" x14ac:dyDescent="0.35">
      <c r="A3" t="s">
        <v>1</v>
      </c>
    </row>
    <row r="4" spans="1:13" x14ac:dyDescent="0.35">
      <c r="A4" t="s">
        <v>0</v>
      </c>
    </row>
    <row r="5" spans="1:13" x14ac:dyDescent="0.35">
      <c r="A5">
        <v>519</v>
      </c>
    </row>
    <row r="6" spans="1:13" x14ac:dyDescent="0.35">
      <c r="D6" t="s">
        <v>7</v>
      </c>
      <c r="I6" t="s">
        <v>8</v>
      </c>
      <c r="L6" t="s">
        <v>12</v>
      </c>
    </row>
    <row r="7" spans="1:13" x14ac:dyDescent="0.35">
      <c r="D7" s="4" t="s">
        <v>5</v>
      </c>
      <c r="E7" t="s">
        <v>0</v>
      </c>
      <c r="I7" s="4" t="s">
        <v>5</v>
      </c>
      <c r="J7" t="s">
        <v>2</v>
      </c>
      <c r="L7" s="4" t="s">
        <v>5</v>
      </c>
      <c r="M7" t="s">
        <v>3</v>
      </c>
    </row>
    <row r="8" spans="1:13" x14ac:dyDescent="0.35">
      <c r="A8" t="s">
        <v>2</v>
      </c>
      <c r="D8" s="5" t="s">
        <v>37</v>
      </c>
      <c r="E8">
        <v>14</v>
      </c>
      <c r="I8" s="5" t="s">
        <v>37</v>
      </c>
      <c r="J8" s="1">
        <v>35.642857142857146</v>
      </c>
      <c r="L8" s="5" t="s">
        <v>37</v>
      </c>
      <c r="M8" s="1">
        <v>7.4</v>
      </c>
    </row>
    <row r="9" spans="1:13" x14ac:dyDescent="0.35">
      <c r="A9" s="1">
        <v>35.809248554913296</v>
      </c>
      <c r="D9" s="5" t="s">
        <v>38</v>
      </c>
      <c r="E9">
        <v>21</v>
      </c>
      <c r="I9" s="5" t="s">
        <v>38</v>
      </c>
      <c r="J9" s="1">
        <v>27</v>
      </c>
      <c r="L9" s="5" t="s">
        <v>38</v>
      </c>
      <c r="M9" s="1">
        <v>5.6</v>
      </c>
    </row>
    <row r="10" spans="1:13" x14ac:dyDescent="0.35">
      <c r="D10" s="5" t="s">
        <v>39</v>
      </c>
      <c r="E10">
        <v>21</v>
      </c>
      <c r="I10" s="5" t="s">
        <v>39</v>
      </c>
      <c r="J10" s="1">
        <v>36.047619047619051</v>
      </c>
      <c r="L10" s="5" t="s">
        <v>39</v>
      </c>
      <c r="M10" s="1">
        <v>6.7142857142857144</v>
      </c>
    </row>
    <row r="11" spans="1:13" x14ac:dyDescent="0.35">
      <c r="D11" s="5" t="s">
        <v>40</v>
      </c>
      <c r="E11">
        <v>15</v>
      </c>
      <c r="I11" s="5" t="s">
        <v>40</v>
      </c>
      <c r="J11" s="1">
        <v>38.866666666666667</v>
      </c>
      <c r="L11" s="5" t="s">
        <v>40</v>
      </c>
      <c r="M11" s="1">
        <v>6</v>
      </c>
    </row>
    <row r="12" spans="1:13" x14ac:dyDescent="0.35">
      <c r="A12" t="s">
        <v>3</v>
      </c>
      <c r="D12" s="5" t="s">
        <v>41</v>
      </c>
      <c r="E12">
        <v>11</v>
      </c>
      <c r="I12" s="5" t="s">
        <v>41</v>
      </c>
      <c r="J12" s="1">
        <v>35.909090909090907</v>
      </c>
      <c r="L12" s="5" t="s">
        <v>41</v>
      </c>
      <c r="M12" s="1">
        <v>4</v>
      </c>
    </row>
    <row r="13" spans="1:13" x14ac:dyDescent="0.35">
      <c r="A13" s="1">
        <v>5.1538461538461542</v>
      </c>
      <c r="D13" s="5" t="s">
        <v>42</v>
      </c>
      <c r="E13">
        <v>17</v>
      </c>
      <c r="I13" s="5" t="s">
        <v>42</v>
      </c>
      <c r="J13" s="1">
        <v>38.470588235294116</v>
      </c>
      <c r="L13" s="5" t="s">
        <v>42</v>
      </c>
      <c r="M13" s="1">
        <v>4.7142857142857144</v>
      </c>
    </row>
    <row r="14" spans="1:13" x14ac:dyDescent="0.35">
      <c r="D14" s="5" t="s">
        <v>43</v>
      </c>
      <c r="E14">
        <v>15</v>
      </c>
      <c r="I14" s="5" t="s">
        <v>43</v>
      </c>
      <c r="J14" s="1">
        <v>36.733333333333334</v>
      </c>
      <c r="L14" s="5" t="s">
        <v>43</v>
      </c>
      <c r="M14" s="1">
        <v>1.8</v>
      </c>
    </row>
    <row r="15" spans="1:13" x14ac:dyDescent="0.35">
      <c r="D15" s="5" t="s">
        <v>44</v>
      </c>
      <c r="E15">
        <v>17</v>
      </c>
      <c r="I15" s="5" t="s">
        <v>44</v>
      </c>
      <c r="J15" s="1">
        <v>34.588235294117645</v>
      </c>
      <c r="L15" s="5" t="s">
        <v>44</v>
      </c>
      <c r="M15" s="1">
        <v>4.833333333333333</v>
      </c>
    </row>
    <row r="16" spans="1:13" x14ac:dyDescent="0.35">
      <c r="D16" s="5" t="s">
        <v>45</v>
      </c>
      <c r="E16">
        <v>13</v>
      </c>
      <c r="I16" s="5" t="s">
        <v>45</v>
      </c>
      <c r="J16" s="1">
        <v>37.53846153846154</v>
      </c>
      <c r="L16" s="5" t="s">
        <v>45</v>
      </c>
      <c r="M16" s="1">
        <v>4.25</v>
      </c>
    </row>
    <row r="17" spans="4:13" x14ac:dyDescent="0.35">
      <c r="D17" s="5" t="s">
        <v>46</v>
      </c>
      <c r="E17">
        <v>24</v>
      </c>
      <c r="I17" s="5" t="s">
        <v>46</v>
      </c>
      <c r="J17" s="1">
        <v>31.708333333333332</v>
      </c>
      <c r="L17" s="5" t="s">
        <v>46</v>
      </c>
      <c r="M17" s="1">
        <v>4.5999999999999996</v>
      </c>
    </row>
    <row r="18" spans="4:13" x14ac:dyDescent="0.35">
      <c r="D18" s="5" t="s">
        <v>47</v>
      </c>
      <c r="E18">
        <v>13</v>
      </c>
      <c r="I18" s="5" t="s">
        <v>47</v>
      </c>
      <c r="J18" s="1">
        <v>28.923076923076923</v>
      </c>
      <c r="L18" s="5" t="s">
        <v>47</v>
      </c>
      <c r="M18" s="1">
        <v>6.5</v>
      </c>
    </row>
    <row r="19" spans="4:13" x14ac:dyDescent="0.35">
      <c r="D19" s="5" t="s">
        <v>48</v>
      </c>
      <c r="E19">
        <v>14</v>
      </c>
      <c r="I19" s="5" t="s">
        <v>48</v>
      </c>
      <c r="J19" s="1">
        <v>42.071428571428569</v>
      </c>
      <c r="L19" s="5" t="s">
        <v>48</v>
      </c>
      <c r="M19" s="1">
        <v>5</v>
      </c>
    </row>
    <row r="20" spans="4:13" x14ac:dyDescent="0.35">
      <c r="D20" s="5" t="s">
        <v>49</v>
      </c>
      <c r="E20">
        <v>12</v>
      </c>
      <c r="I20" s="5" t="s">
        <v>49</v>
      </c>
      <c r="J20" s="1">
        <v>35.833333333333336</v>
      </c>
      <c r="L20" s="5" t="s">
        <v>49</v>
      </c>
      <c r="M20" s="1">
        <v>6</v>
      </c>
    </row>
    <row r="21" spans="4:13" x14ac:dyDescent="0.35">
      <c r="D21" s="5" t="s">
        <v>50</v>
      </c>
      <c r="E21">
        <v>11</v>
      </c>
      <c r="I21" s="5" t="s">
        <v>50</v>
      </c>
      <c r="J21" s="1">
        <v>28.727272727272727</v>
      </c>
      <c r="L21" s="5" t="s">
        <v>50</v>
      </c>
      <c r="M21" s="1">
        <v>4.7142857142857144</v>
      </c>
    </row>
    <row r="22" spans="4:13" x14ac:dyDescent="0.35">
      <c r="D22" s="5" t="s">
        <v>51</v>
      </c>
      <c r="E22">
        <v>16</v>
      </c>
      <c r="I22" s="5" t="s">
        <v>51</v>
      </c>
      <c r="J22" s="1">
        <v>35.75</v>
      </c>
      <c r="L22" s="5" t="s">
        <v>51</v>
      </c>
      <c r="M22" s="1">
        <v>4.2</v>
      </c>
    </row>
    <row r="23" spans="4:13" x14ac:dyDescent="0.35">
      <c r="D23" s="5" t="s">
        <v>52</v>
      </c>
      <c r="E23">
        <v>20</v>
      </c>
      <c r="I23" s="5" t="s">
        <v>52</v>
      </c>
      <c r="J23" s="1">
        <v>34.75</v>
      </c>
      <c r="L23" s="5" t="s">
        <v>52</v>
      </c>
      <c r="M23" s="1">
        <v>7.2</v>
      </c>
    </row>
    <row r="24" spans="4:13" x14ac:dyDescent="0.35">
      <c r="D24" s="5" t="s">
        <v>53</v>
      </c>
      <c r="E24">
        <v>15</v>
      </c>
      <c r="I24" s="5" t="s">
        <v>53</v>
      </c>
      <c r="J24" s="1">
        <v>37.666666666666664</v>
      </c>
      <c r="L24" s="5" t="s">
        <v>53</v>
      </c>
      <c r="M24" s="1">
        <v>4.333333333333333</v>
      </c>
    </row>
    <row r="25" spans="4:13" x14ac:dyDescent="0.35">
      <c r="D25" s="5" t="s">
        <v>54</v>
      </c>
      <c r="E25">
        <v>19</v>
      </c>
      <c r="I25" s="5" t="s">
        <v>54</v>
      </c>
      <c r="J25" s="1">
        <v>40.421052631578945</v>
      </c>
      <c r="L25" s="5" t="s">
        <v>54</v>
      </c>
      <c r="M25" s="1">
        <v>3.7777777777777777</v>
      </c>
    </row>
    <row r="26" spans="4:13" x14ac:dyDescent="0.35">
      <c r="D26" s="5" t="s">
        <v>55</v>
      </c>
      <c r="E26">
        <v>16</v>
      </c>
      <c r="I26" s="5" t="s">
        <v>55</v>
      </c>
      <c r="J26" s="1">
        <v>33.75</v>
      </c>
      <c r="L26" s="5" t="s">
        <v>55</v>
      </c>
      <c r="M26" s="1">
        <v>3.6666666666666665</v>
      </c>
    </row>
    <row r="27" spans="4:13" x14ac:dyDescent="0.35">
      <c r="D27" s="5" t="s">
        <v>56</v>
      </c>
      <c r="E27">
        <v>17</v>
      </c>
      <c r="I27" s="5" t="s">
        <v>56</v>
      </c>
      <c r="J27" s="1">
        <v>32.764705882352942</v>
      </c>
      <c r="L27" s="5" t="s">
        <v>56</v>
      </c>
      <c r="M27" s="1">
        <v>4</v>
      </c>
    </row>
    <row r="28" spans="4:13" x14ac:dyDescent="0.35">
      <c r="D28" s="5" t="s">
        <v>57</v>
      </c>
      <c r="E28">
        <v>28</v>
      </c>
      <c r="I28" s="5" t="s">
        <v>57</v>
      </c>
      <c r="J28" s="1">
        <v>37.357142857142854</v>
      </c>
      <c r="L28" s="5" t="s">
        <v>57</v>
      </c>
      <c r="M28" s="1">
        <v>5.833333333333333</v>
      </c>
    </row>
    <row r="29" spans="4:13" x14ac:dyDescent="0.35">
      <c r="D29" s="5" t="s">
        <v>58</v>
      </c>
      <c r="E29">
        <v>22</v>
      </c>
      <c r="I29" s="5" t="s">
        <v>58</v>
      </c>
      <c r="J29" s="1">
        <v>37.227272727272727</v>
      </c>
      <c r="L29" s="5" t="s">
        <v>58</v>
      </c>
      <c r="M29" s="1">
        <v>5.666666666666667</v>
      </c>
    </row>
    <row r="30" spans="4:13" x14ac:dyDescent="0.35">
      <c r="D30" s="5" t="s">
        <v>59</v>
      </c>
      <c r="E30">
        <v>20</v>
      </c>
      <c r="I30" s="5" t="s">
        <v>59</v>
      </c>
      <c r="J30" s="1">
        <v>36.700000000000003</v>
      </c>
      <c r="L30" s="5" t="s">
        <v>59</v>
      </c>
      <c r="M30" s="1">
        <v>5.5</v>
      </c>
    </row>
    <row r="31" spans="4:13" x14ac:dyDescent="0.35">
      <c r="D31" s="5" t="s">
        <v>60</v>
      </c>
      <c r="E31">
        <v>17</v>
      </c>
      <c r="I31" s="5" t="s">
        <v>60</v>
      </c>
      <c r="J31" s="1">
        <v>43.058823529411768</v>
      </c>
      <c r="L31" s="5" t="s">
        <v>60</v>
      </c>
      <c r="M31" s="1">
        <v>5.5</v>
      </c>
    </row>
    <row r="32" spans="4:13" x14ac:dyDescent="0.35">
      <c r="D32" s="5" t="s">
        <v>61</v>
      </c>
      <c r="E32">
        <v>18</v>
      </c>
      <c r="I32" s="5" t="s">
        <v>61</v>
      </c>
      <c r="J32" s="1">
        <v>39.777777777777779</v>
      </c>
      <c r="L32" s="5" t="s">
        <v>61</v>
      </c>
      <c r="M32" s="1">
        <v>7</v>
      </c>
    </row>
    <row r="33" spans="1:13" x14ac:dyDescent="0.35">
      <c r="D33" s="5" t="s">
        <v>62</v>
      </c>
      <c r="E33">
        <v>13</v>
      </c>
      <c r="I33" s="5" t="s">
        <v>62</v>
      </c>
      <c r="J33" s="1">
        <v>40.692307692307693</v>
      </c>
      <c r="L33" s="5" t="s">
        <v>62</v>
      </c>
      <c r="M33" s="1">
        <v>7</v>
      </c>
    </row>
    <row r="34" spans="1:13" x14ac:dyDescent="0.35">
      <c r="D34" s="5" t="s">
        <v>63</v>
      </c>
      <c r="E34">
        <v>13</v>
      </c>
      <c r="I34" s="5" t="s">
        <v>63</v>
      </c>
      <c r="J34" s="1">
        <v>34.46153846153846</v>
      </c>
      <c r="L34" s="5" t="s">
        <v>63</v>
      </c>
      <c r="M34" s="1">
        <v>4</v>
      </c>
    </row>
    <row r="35" spans="1:13" x14ac:dyDescent="0.35">
      <c r="D35" s="5" t="s">
        <v>64</v>
      </c>
      <c r="E35">
        <v>13</v>
      </c>
      <c r="I35" s="5" t="s">
        <v>64</v>
      </c>
      <c r="J35" s="1">
        <v>30.307692307692307</v>
      </c>
      <c r="L35" s="5" t="s">
        <v>64</v>
      </c>
      <c r="M35" s="1">
        <v>4.4444444444444446</v>
      </c>
    </row>
    <row r="36" spans="1:13" x14ac:dyDescent="0.35">
      <c r="D36" s="5" t="s">
        <v>65</v>
      </c>
      <c r="E36">
        <v>20</v>
      </c>
      <c r="I36" s="5" t="s">
        <v>65</v>
      </c>
      <c r="J36" s="1">
        <v>38.5</v>
      </c>
      <c r="L36" s="5" t="s">
        <v>65</v>
      </c>
      <c r="M36" s="1">
        <v>4.8571428571428568</v>
      </c>
    </row>
    <row r="37" spans="1:13" x14ac:dyDescent="0.35">
      <c r="D37" s="5" t="s">
        <v>66</v>
      </c>
      <c r="E37">
        <v>15</v>
      </c>
      <c r="I37" s="5" t="s">
        <v>66</v>
      </c>
      <c r="J37" s="1">
        <v>35.333333333333336</v>
      </c>
      <c r="L37" s="5" t="s">
        <v>66</v>
      </c>
      <c r="M37" s="1">
        <v>5.5714285714285712</v>
      </c>
    </row>
    <row r="38" spans="1:13" x14ac:dyDescent="0.35">
      <c r="D38" s="5" t="s">
        <v>67</v>
      </c>
      <c r="E38">
        <v>19</v>
      </c>
      <c r="I38" s="5" t="s">
        <v>67</v>
      </c>
      <c r="J38" s="1">
        <v>32.421052631578945</v>
      </c>
      <c r="L38" s="5" t="s">
        <v>67</v>
      </c>
      <c r="M38" s="1">
        <v>6</v>
      </c>
    </row>
    <row r="39" spans="1:13" x14ac:dyDescent="0.35">
      <c r="D39" s="5" t="s">
        <v>4</v>
      </c>
      <c r="E39">
        <v>519</v>
      </c>
      <c r="I39" s="5" t="s">
        <v>4</v>
      </c>
      <c r="J39" s="1">
        <v>35.809248554913296</v>
      </c>
      <c r="L39" s="5" t="s">
        <v>4</v>
      </c>
      <c r="M39" s="1">
        <v>5.1455696202531644</v>
      </c>
    </row>
    <row r="41" spans="1:13" x14ac:dyDescent="0.35">
      <c r="A41" s="4" t="s">
        <v>5</v>
      </c>
      <c r="B41" t="s">
        <v>14</v>
      </c>
      <c r="C41" t="s">
        <v>17</v>
      </c>
    </row>
    <row r="42" spans="1:13" x14ac:dyDescent="0.35">
      <c r="A42" s="5" t="s">
        <v>15</v>
      </c>
      <c r="B42" s="9">
        <v>266</v>
      </c>
      <c r="C42" s="8">
        <v>0.51252408477842004</v>
      </c>
    </row>
    <row r="43" spans="1:13" x14ac:dyDescent="0.35">
      <c r="A43" s="5" t="s">
        <v>16</v>
      </c>
      <c r="B43" s="9">
        <v>253</v>
      </c>
      <c r="C43" s="8">
        <v>0.48747591522157996</v>
      </c>
    </row>
    <row r="44" spans="1:13" x14ac:dyDescent="0.35">
      <c r="A44" s="5" t="s">
        <v>4</v>
      </c>
      <c r="B44" s="1">
        <v>519</v>
      </c>
      <c r="C44" s="8">
        <v>1</v>
      </c>
    </row>
    <row r="49" spans="1:4" x14ac:dyDescent="0.35">
      <c r="A49" s="10" t="s">
        <v>18</v>
      </c>
      <c r="B49" s="11" t="s">
        <v>20</v>
      </c>
      <c r="C49" s="10" t="s">
        <v>19</v>
      </c>
      <c r="D49" s="11"/>
    </row>
    <row r="50" spans="1:4" x14ac:dyDescent="0.35">
      <c r="A50" s="12" t="str">
        <f>A43</f>
        <v>Not Addmitted</v>
      </c>
      <c r="B50" s="12">
        <f>B43</f>
        <v>253</v>
      </c>
      <c r="C50" s="13">
        <f>C43</f>
        <v>0.48747591522157996</v>
      </c>
      <c r="D50" s="14"/>
    </row>
    <row r="51" spans="1:4" x14ac:dyDescent="0.35">
      <c r="A51" s="12" t="str">
        <f>A42</f>
        <v>Addmitted</v>
      </c>
      <c r="B51" s="12">
        <f>B42</f>
        <v>266</v>
      </c>
      <c r="C51" s="13">
        <f>C42</f>
        <v>0.51252408477842004</v>
      </c>
      <c r="D51" s="14"/>
    </row>
    <row r="54" spans="1:4" x14ac:dyDescent="0.35">
      <c r="A54" t="s">
        <v>29</v>
      </c>
    </row>
    <row r="55" spans="1:4" x14ac:dyDescent="0.35">
      <c r="A55" s="4" t="s">
        <v>5</v>
      </c>
      <c r="B55" t="s">
        <v>28</v>
      </c>
    </row>
    <row r="56" spans="1:4" x14ac:dyDescent="0.35">
      <c r="A56" s="5" t="s">
        <v>21</v>
      </c>
      <c r="B56" s="9">
        <v>73</v>
      </c>
    </row>
    <row r="57" spans="1:4" x14ac:dyDescent="0.35">
      <c r="A57" s="5" t="s">
        <v>22</v>
      </c>
      <c r="B57" s="9">
        <v>64</v>
      </c>
    </row>
    <row r="58" spans="1:4" x14ac:dyDescent="0.35">
      <c r="A58" s="5" t="s">
        <v>23</v>
      </c>
      <c r="B58" s="9">
        <v>74</v>
      </c>
    </row>
    <row r="59" spans="1:4" x14ac:dyDescent="0.35">
      <c r="A59" s="5" t="s">
        <v>24</v>
      </c>
      <c r="B59" s="9">
        <v>71</v>
      </c>
    </row>
    <row r="60" spans="1:4" x14ac:dyDescent="0.35">
      <c r="A60" s="5" t="s">
        <v>25</v>
      </c>
      <c r="B60" s="9">
        <v>126</v>
      </c>
    </row>
    <row r="61" spans="1:4" x14ac:dyDescent="0.35">
      <c r="A61" s="5" t="s">
        <v>26</v>
      </c>
      <c r="B61" s="9">
        <v>62</v>
      </c>
    </row>
    <row r="62" spans="1:4" x14ac:dyDescent="0.35">
      <c r="A62" s="5" t="s">
        <v>27</v>
      </c>
      <c r="B62" s="9">
        <v>49</v>
      </c>
    </row>
    <row r="63" spans="1:4" x14ac:dyDescent="0.35">
      <c r="A63" s="5" t="s">
        <v>4</v>
      </c>
      <c r="B63" s="9">
        <v>519</v>
      </c>
    </row>
    <row r="65" spans="1:2" x14ac:dyDescent="0.35">
      <c r="A65" s="5" t="s">
        <v>33</v>
      </c>
    </row>
    <row r="66" spans="1:2" x14ac:dyDescent="0.35">
      <c r="A66" s="4" t="s">
        <v>5</v>
      </c>
      <c r="B66" t="s">
        <v>32</v>
      </c>
    </row>
    <row r="67" spans="1:2" x14ac:dyDescent="0.35">
      <c r="A67" s="5" t="s">
        <v>30</v>
      </c>
      <c r="B67" s="9">
        <v>324</v>
      </c>
    </row>
    <row r="68" spans="1:2" x14ac:dyDescent="0.35">
      <c r="A68" s="5" t="s">
        <v>31</v>
      </c>
      <c r="B68" s="9">
        <v>195</v>
      </c>
    </row>
    <row r="69" spans="1:2" x14ac:dyDescent="0.35">
      <c r="A69" s="5" t="s">
        <v>4</v>
      </c>
      <c r="B69" s="9">
        <v>519</v>
      </c>
    </row>
    <row r="72" spans="1:2" x14ac:dyDescent="0.35">
      <c r="A72" s="5" t="s">
        <v>68</v>
      </c>
    </row>
    <row r="73" spans="1:2" x14ac:dyDescent="0.35">
      <c r="A73" s="4" t="s">
        <v>5</v>
      </c>
      <c r="B73" t="s">
        <v>36</v>
      </c>
    </row>
    <row r="74" spans="1:2" x14ac:dyDescent="0.35">
      <c r="A74" s="5" t="s">
        <v>34</v>
      </c>
      <c r="B74" s="9">
        <v>254</v>
      </c>
    </row>
    <row r="75" spans="1:2" x14ac:dyDescent="0.35">
      <c r="A75" s="5" t="s">
        <v>35</v>
      </c>
      <c r="B75" s="9">
        <v>265</v>
      </c>
    </row>
    <row r="76" spans="1:2" x14ac:dyDescent="0.35">
      <c r="A76" s="5" t="s">
        <v>4</v>
      </c>
      <c r="B76" s="9">
        <v>519</v>
      </c>
    </row>
    <row r="79" spans="1:2" x14ac:dyDescent="0.35">
      <c r="A79" s="5" t="s">
        <v>78</v>
      </c>
    </row>
    <row r="80" spans="1:2" x14ac:dyDescent="0.35">
      <c r="A80" s="4" t="s">
        <v>5</v>
      </c>
      <c r="B80" t="s">
        <v>77</v>
      </c>
    </row>
    <row r="81" spans="1:2" x14ac:dyDescent="0.35">
      <c r="A81" s="5" t="s">
        <v>76</v>
      </c>
      <c r="B81" s="9">
        <v>3</v>
      </c>
    </row>
    <row r="82" spans="1:2" x14ac:dyDescent="0.35">
      <c r="A82" s="5" t="s">
        <v>70</v>
      </c>
      <c r="B82" s="9">
        <v>8</v>
      </c>
    </row>
    <row r="83" spans="1:2" x14ac:dyDescent="0.35">
      <c r="A83" s="5" t="s">
        <v>69</v>
      </c>
      <c r="B83" s="9">
        <v>11</v>
      </c>
    </row>
    <row r="84" spans="1:2" x14ac:dyDescent="0.35">
      <c r="A84" s="5" t="s">
        <v>75</v>
      </c>
      <c r="B84" s="9">
        <v>15</v>
      </c>
    </row>
    <row r="85" spans="1:2" x14ac:dyDescent="0.35">
      <c r="A85" s="5" t="s">
        <v>72</v>
      </c>
      <c r="B85" s="9">
        <v>16</v>
      </c>
    </row>
    <row r="86" spans="1:2" x14ac:dyDescent="0.35">
      <c r="A86" s="5" t="s">
        <v>74</v>
      </c>
      <c r="B86" s="9">
        <v>51</v>
      </c>
    </row>
    <row r="87" spans="1:2" x14ac:dyDescent="0.35">
      <c r="A87" s="5" t="s">
        <v>71</v>
      </c>
      <c r="B87" s="9">
        <v>102</v>
      </c>
    </row>
    <row r="88" spans="1:2" x14ac:dyDescent="0.35">
      <c r="A88" s="5" t="s">
        <v>73</v>
      </c>
      <c r="B88" s="9">
        <v>313</v>
      </c>
    </row>
    <row r="89" spans="1:2" x14ac:dyDescent="0.35">
      <c r="A89" s="5" t="s">
        <v>4</v>
      </c>
      <c r="B89" s="9">
        <v>519</v>
      </c>
    </row>
    <row r="92" spans="1:2" x14ac:dyDescent="0.35">
      <c r="A92" s="15"/>
      <c r="B92" s="15"/>
    </row>
    <row r="93" spans="1:2" x14ac:dyDescent="0.35">
      <c r="A93" s="5"/>
      <c r="B93" s="9"/>
    </row>
    <row r="94" spans="1:2" x14ac:dyDescent="0.35">
      <c r="A94" s="5"/>
      <c r="B94" s="9"/>
    </row>
    <row r="95" spans="1:2" x14ac:dyDescent="0.35">
      <c r="A95" s="5"/>
      <c r="B95" s="9"/>
    </row>
    <row r="96" spans="1:2" x14ac:dyDescent="0.35">
      <c r="A96" s="5"/>
      <c r="B96" s="9"/>
    </row>
    <row r="97" spans="1:2" x14ac:dyDescent="0.35">
      <c r="A97" s="5"/>
      <c r="B97" s="9"/>
    </row>
    <row r="98" spans="1:2" x14ac:dyDescent="0.35">
      <c r="A98" s="5"/>
      <c r="B98" s="9"/>
    </row>
    <row r="99" spans="1:2" x14ac:dyDescent="0.35">
      <c r="A99" s="4" t="s">
        <v>5</v>
      </c>
    </row>
    <row r="100" spans="1:2" x14ac:dyDescent="0.35">
      <c r="A100" s="5" t="s">
        <v>79</v>
      </c>
    </row>
    <row r="101" spans="1:2" x14ac:dyDescent="0.35">
      <c r="A101" s="5"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E9A2-BCB4-4DEB-8CA0-B7C427182957}">
  <dimension ref="A1:N17"/>
  <sheetViews>
    <sheetView tabSelected="1" zoomScale="120" zoomScaleNormal="120" workbookViewId="0"/>
  </sheetViews>
  <sheetFormatPr defaultRowHeight="14.5" x14ac:dyDescent="0.35"/>
  <sheetData>
    <row r="1" spans="1:14" x14ac:dyDescent="0.35">
      <c r="A1" s="2" t="str">
        <f>'Pivot Report '!A49</f>
        <v>Addmission Staus</v>
      </c>
      <c r="B1" s="2" t="str">
        <f>'Pivot Report '!B49</f>
        <v xml:space="preserve"> NO. of Patient</v>
      </c>
      <c r="C1" s="2" t="str">
        <f>'Pivot Report '!C49</f>
        <v>%Staus</v>
      </c>
      <c r="D1" s="2">
        <f>'Pivot Report '!D49</f>
        <v>0</v>
      </c>
      <c r="E1" s="2"/>
      <c r="F1" s="2"/>
      <c r="G1" s="2"/>
      <c r="H1" s="2"/>
      <c r="I1" s="2"/>
      <c r="J1" s="2"/>
      <c r="K1" s="2"/>
      <c r="L1" s="2"/>
      <c r="M1" s="2"/>
    </row>
    <row r="2" spans="1:14" x14ac:dyDescent="0.35">
      <c r="A2" s="2" t="str">
        <f>'Pivot Report '!A50</f>
        <v>Not Addmitted</v>
      </c>
      <c r="B2" s="2">
        <f>'Pivot Report '!B50</f>
        <v>253</v>
      </c>
      <c r="C2" s="2">
        <f>'Pivot Report '!C50</f>
        <v>0.48747591522157996</v>
      </c>
      <c r="D2" s="2">
        <f>'Pivot Report '!D50</f>
        <v>0</v>
      </c>
      <c r="E2" s="2"/>
      <c r="F2" s="2"/>
      <c r="G2" s="2"/>
      <c r="H2" s="2"/>
      <c r="I2" s="2"/>
      <c r="J2" s="2"/>
      <c r="K2" s="2"/>
      <c r="L2" s="2"/>
      <c r="M2" s="2"/>
    </row>
    <row r="3" spans="1:14" x14ac:dyDescent="0.35">
      <c r="A3" s="2" t="str">
        <f>'Pivot Report '!A51</f>
        <v>Addmitted</v>
      </c>
      <c r="B3" s="2">
        <f>'Pivot Report '!B51</f>
        <v>266</v>
      </c>
      <c r="C3" s="2">
        <f>'Pivot Report '!C51</f>
        <v>0.51252408477842004</v>
      </c>
      <c r="D3" s="2">
        <f>'Pivot Report '!D51</f>
        <v>0</v>
      </c>
      <c r="E3" s="2"/>
      <c r="F3" s="2"/>
      <c r="G3" s="2"/>
      <c r="H3" s="2"/>
      <c r="I3" s="2"/>
      <c r="J3" s="2"/>
      <c r="K3" s="2"/>
      <c r="L3" s="2"/>
      <c r="M3" s="2"/>
    </row>
    <row r="4" spans="1:14" x14ac:dyDescent="0.35">
      <c r="A4" s="2"/>
      <c r="B4" s="2"/>
      <c r="C4" s="2"/>
      <c r="D4" s="2"/>
      <c r="E4" s="2"/>
      <c r="F4" s="2"/>
      <c r="G4" s="2"/>
      <c r="H4" s="2"/>
      <c r="I4" s="2"/>
      <c r="J4" s="2"/>
      <c r="K4" s="2"/>
      <c r="L4" s="2"/>
      <c r="M4" s="2"/>
    </row>
    <row r="5" spans="1:14" x14ac:dyDescent="0.35">
      <c r="A5" s="2"/>
      <c r="B5" s="2"/>
      <c r="C5" s="2"/>
      <c r="D5" s="2"/>
      <c r="E5" s="2"/>
      <c r="F5" s="2"/>
      <c r="G5" s="2"/>
      <c r="H5" s="2"/>
      <c r="I5" s="2"/>
      <c r="J5" s="2"/>
      <c r="K5" s="2"/>
      <c r="L5" s="2"/>
      <c r="M5" s="2"/>
      <c r="N5" t="s">
        <v>13</v>
      </c>
    </row>
    <row r="6" spans="1:14" ht="16.5" x14ac:dyDescent="0.45">
      <c r="A6" s="2"/>
      <c r="B6" s="2"/>
      <c r="C6" s="2"/>
      <c r="D6" s="2"/>
      <c r="E6" s="2"/>
      <c r="F6" s="2"/>
      <c r="G6" s="2"/>
      <c r="H6" s="2"/>
      <c r="I6" s="2"/>
      <c r="J6" s="2"/>
      <c r="K6" s="2"/>
      <c r="L6" s="2"/>
      <c r="M6" s="2"/>
      <c r="N6" s="3"/>
    </row>
    <row r="7" spans="1:14" x14ac:dyDescent="0.35">
      <c r="A7" s="2"/>
      <c r="B7" s="2"/>
      <c r="C7" s="2"/>
      <c r="D7" s="2"/>
      <c r="E7" s="2"/>
      <c r="F7" s="2"/>
      <c r="G7" s="2"/>
      <c r="H7" s="2"/>
      <c r="I7" s="2"/>
      <c r="J7" s="2"/>
      <c r="K7" s="2"/>
      <c r="L7" s="2"/>
      <c r="M7" s="2"/>
    </row>
    <row r="8" spans="1:14" x14ac:dyDescent="0.35">
      <c r="A8" s="2"/>
      <c r="B8" s="2"/>
      <c r="C8" s="2"/>
      <c r="D8" s="2"/>
      <c r="E8" s="2"/>
      <c r="F8" s="2"/>
      <c r="G8" s="2"/>
      <c r="H8" s="2"/>
      <c r="I8" s="2"/>
      <c r="J8" s="2"/>
      <c r="K8" s="2"/>
      <c r="L8" s="2"/>
      <c r="M8" s="2"/>
    </row>
    <row r="9" spans="1:14" x14ac:dyDescent="0.35">
      <c r="A9" s="2"/>
      <c r="B9" s="2"/>
      <c r="C9" s="2"/>
      <c r="D9" s="2"/>
      <c r="E9" s="2"/>
      <c r="F9" s="2"/>
      <c r="G9" s="2"/>
      <c r="H9" s="2"/>
      <c r="I9" s="2"/>
      <c r="J9" s="2"/>
      <c r="K9" s="2"/>
      <c r="L9" s="2"/>
      <c r="M9" s="2"/>
    </row>
    <row r="10" spans="1:14" x14ac:dyDescent="0.35">
      <c r="A10" s="2"/>
      <c r="B10" s="2"/>
      <c r="C10" s="2"/>
      <c r="D10" s="2"/>
      <c r="E10" s="2"/>
      <c r="F10" s="2"/>
      <c r="G10" s="2"/>
      <c r="H10" s="2"/>
      <c r="I10" s="2"/>
      <c r="J10" s="2"/>
      <c r="K10" s="2"/>
      <c r="L10" s="2"/>
      <c r="M10" s="2"/>
    </row>
    <row r="11" spans="1:14" x14ac:dyDescent="0.35">
      <c r="A11" s="2"/>
      <c r="B11" s="2"/>
      <c r="C11" s="2"/>
      <c r="D11" s="2"/>
      <c r="E11" s="2"/>
      <c r="F11" s="2"/>
      <c r="G11" s="2"/>
      <c r="H11" s="2"/>
      <c r="I11" s="2"/>
      <c r="J11" s="2"/>
      <c r="K11" s="2"/>
      <c r="L11" s="2"/>
      <c r="M11" s="2"/>
    </row>
    <row r="12" spans="1:14" x14ac:dyDescent="0.35">
      <c r="A12" s="2"/>
      <c r="B12" s="2"/>
      <c r="C12" s="2"/>
      <c r="D12" s="2"/>
      <c r="E12" s="2"/>
      <c r="F12" s="2"/>
      <c r="G12" s="2"/>
      <c r="H12" s="2"/>
      <c r="I12" s="2"/>
      <c r="J12" s="2"/>
      <c r="K12" s="2"/>
      <c r="L12" s="2"/>
      <c r="M12" s="2"/>
    </row>
    <row r="13" spans="1:14" x14ac:dyDescent="0.35">
      <c r="A13" s="2"/>
      <c r="B13" s="2"/>
      <c r="C13" s="2"/>
      <c r="D13" s="2"/>
      <c r="E13" s="2"/>
      <c r="F13" s="2"/>
      <c r="G13" s="2"/>
      <c r="H13" s="2"/>
      <c r="I13" s="2"/>
      <c r="J13" s="2"/>
      <c r="K13" s="2"/>
      <c r="L13" s="2"/>
      <c r="M13" s="2"/>
    </row>
    <row r="14" spans="1:14" x14ac:dyDescent="0.35">
      <c r="A14" s="2"/>
      <c r="B14" s="2"/>
      <c r="C14" s="2"/>
      <c r="D14" s="2"/>
      <c r="E14" s="2"/>
      <c r="F14" s="2"/>
      <c r="G14" s="2"/>
      <c r="H14" s="2"/>
      <c r="I14" s="2"/>
      <c r="J14" s="2"/>
      <c r="K14" s="2"/>
      <c r="L14" s="2"/>
      <c r="M14" s="2"/>
    </row>
    <row r="15" spans="1:14" x14ac:dyDescent="0.35">
      <c r="A15" s="2"/>
      <c r="B15" s="2"/>
      <c r="C15" s="2"/>
      <c r="D15" s="2"/>
      <c r="E15" s="2"/>
      <c r="F15" s="2"/>
      <c r="G15" s="2"/>
      <c r="H15" s="2"/>
      <c r="I15" s="2"/>
      <c r="J15" s="2"/>
      <c r="K15" s="2"/>
      <c r="L15" s="2"/>
      <c r="M15" s="2"/>
    </row>
    <row r="16" spans="1:14" x14ac:dyDescent="0.35">
      <c r="A16" s="2"/>
      <c r="B16" s="2"/>
      <c r="C16" s="2"/>
      <c r="D16" s="2"/>
      <c r="E16" s="2"/>
      <c r="F16" s="2"/>
      <c r="G16" s="2"/>
      <c r="H16" s="2"/>
      <c r="I16" s="2"/>
      <c r="J16" s="2"/>
      <c r="K16" s="2"/>
      <c r="L16" s="2"/>
      <c r="M16" s="2"/>
    </row>
    <row r="17" spans="1:13" x14ac:dyDescent="0.35">
      <c r="A17" s="2"/>
      <c r="B17" s="2"/>
      <c r="C17" s="2"/>
      <c r="D17" s="2"/>
      <c r="E17" s="2"/>
      <c r="F17" s="2"/>
      <c r="G17" s="2"/>
      <c r="H17" s="2"/>
      <c r="I17" s="2"/>
      <c r="J17" s="2"/>
      <c r="K17" s="2"/>
      <c r="L17" s="2"/>
      <c r="M17"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A4E1-A901-4715-9DB7-514203B32512}">
  <dimension ref="A1:R19"/>
  <sheetViews>
    <sheetView workbookViewId="0"/>
  </sheetViews>
  <sheetFormatPr defaultRowHeight="14.5" x14ac:dyDescent="0.35"/>
  <sheetData>
    <row r="1" spans="1:18" x14ac:dyDescent="0.35">
      <c r="A1" s="6"/>
      <c r="B1" s="6"/>
      <c r="C1" s="6"/>
      <c r="D1" s="6"/>
      <c r="E1" s="6"/>
      <c r="F1" s="6"/>
      <c r="G1" s="6"/>
      <c r="H1" s="6"/>
      <c r="I1" s="6"/>
      <c r="J1" s="6"/>
      <c r="K1" s="6"/>
      <c r="L1" s="6"/>
      <c r="M1" s="6"/>
      <c r="N1" s="6"/>
      <c r="O1" s="6"/>
      <c r="P1" s="6"/>
      <c r="Q1" s="6"/>
      <c r="R1" s="6"/>
    </row>
    <row r="2" spans="1:18" x14ac:dyDescent="0.35">
      <c r="A2" s="6"/>
      <c r="B2" s="6"/>
      <c r="C2" s="6"/>
      <c r="D2" s="6"/>
      <c r="E2" s="6"/>
      <c r="F2" s="6"/>
      <c r="G2" s="6"/>
      <c r="H2" s="6"/>
      <c r="I2" s="6"/>
      <c r="J2" s="6"/>
      <c r="K2" s="6"/>
      <c r="L2" s="6"/>
      <c r="M2" s="6"/>
      <c r="N2" s="6"/>
      <c r="O2" s="6"/>
      <c r="P2" s="6"/>
      <c r="Q2" s="6"/>
      <c r="R2" s="6"/>
    </row>
    <row r="3" spans="1:18" x14ac:dyDescent="0.35">
      <c r="A3" s="6"/>
      <c r="B3" s="6"/>
      <c r="C3" s="6"/>
      <c r="D3" s="6"/>
      <c r="E3" s="6"/>
      <c r="F3" s="6"/>
      <c r="G3" s="6"/>
      <c r="H3" s="6"/>
      <c r="I3" s="6"/>
      <c r="J3" s="6"/>
      <c r="K3" s="6"/>
      <c r="L3" s="6"/>
      <c r="M3" s="6"/>
      <c r="N3" s="6"/>
      <c r="O3" s="6"/>
      <c r="P3" s="6"/>
      <c r="Q3" s="6"/>
      <c r="R3" s="6"/>
    </row>
    <row r="4" spans="1:18" x14ac:dyDescent="0.35">
      <c r="A4" s="6"/>
      <c r="B4" s="6"/>
      <c r="C4" s="6"/>
      <c r="D4" s="6"/>
      <c r="E4" s="6"/>
      <c r="F4" s="6"/>
      <c r="G4" s="6"/>
      <c r="H4" s="6"/>
      <c r="I4" s="6"/>
      <c r="J4" s="6"/>
      <c r="K4" s="6"/>
      <c r="L4" s="6"/>
      <c r="M4" s="6"/>
      <c r="N4" s="6"/>
      <c r="O4" s="6"/>
      <c r="P4" s="6"/>
      <c r="Q4" s="6"/>
      <c r="R4" s="6"/>
    </row>
    <row r="5" spans="1:18" x14ac:dyDescent="0.35">
      <c r="A5" s="6"/>
      <c r="B5" s="6"/>
      <c r="C5" s="6"/>
      <c r="D5" s="6"/>
      <c r="E5" s="6"/>
      <c r="F5" s="6"/>
      <c r="G5" s="6"/>
      <c r="H5" s="6"/>
      <c r="I5" s="6"/>
      <c r="J5" s="6"/>
      <c r="K5" s="6"/>
      <c r="L5" s="6"/>
      <c r="M5" s="6"/>
      <c r="N5" s="6"/>
      <c r="O5" s="6"/>
      <c r="P5" s="6"/>
      <c r="Q5" s="6"/>
      <c r="R5" s="6"/>
    </row>
    <row r="6" spans="1:18" x14ac:dyDescent="0.35">
      <c r="A6" s="6"/>
      <c r="B6" s="6"/>
      <c r="C6" s="6"/>
      <c r="D6" s="6"/>
      <c r="E6" s="6"/>
      <c r="F6" s="6"/>
      <c r="G6" s="6"/>
      <c r="H6" s="6"/>
      <c r="I6" s="6"/>
      <c r="J6" s="6"/>
      <c r="K6" s="6"/>
      <c r="L6" s="6"/>
      <c r="M6" s="6"/>
      <c r="N6" s="6"/>
      <c r="O6" s="6"/>
      <c r="P6" s="6"/>
      <c r="Q6" s="6"/>
      <c r="R6" s="6"/>
    </row>
    <row r="7" spans="1:18" x14ac:dyDescent="0.35">
      <c r="A7" s="6"/>
      <c r="B7" s="6"/>
      <c r="C7" s="6"/>
      <c r="D7" s="6"/>
      <c r="E7" s="6"/>
      <c r="F7" s="6"/>
      <c r="G7" s="6"/>
      <c r="H7" s="6"/>
      <c r="I7" s="6"/>
      <c r="J7" s="6"/>
      <c r="K7" s="6"/>
      <c r="L7" s="6"/>
      <c r="M7" s="6"/>
      <c r="N7" s="6"/>
      <c r="O7" s="6"/>
      <c r="P7" s="6"/>
      <c r="Q7" s="6"/>
      <c r="R7" s="6"/>
    </row>
    <row r="8" spans="1:18" x14ac:dyDescent="0.35">
      <c r="A8" s="6"/>
      <c r="B8" s="6"/>
      <c r="C8" s="6"/>
      <c r="D8" s="6"/>
      <c r="E8" s="6"/>
      <c r="F8" s="6"/>
      <c r="G8" s="6"/>
      <c r="H8" s="6"/>
      <c r="I8" s="6"/>
      <c r="J8" s="6"/>
      <c r="K8" s="6"/>
      <c r="L8" s="6"/>
      <c r="M8" s="6"/>
      <c r="N8" s="6"/>
      <c r="O8" s="6"/>
      <c r="P8" s="6"/>
      <c r="Q8" s="6"/>
      <c r="R8" s="6"/>
    </row>
    <row r="9" spans="1:18" x14ac:dyDescent="0.35">
      <c r="A9" s="6"/>
      <c r="B9" s="6"/>
      <c r="C9" s="6"/>
      <c r="D9" s="6"/>
      <c r="E9" s="6"/>
      <c r="F9" s="6"/>
      <c r="G9" s="6"/>
      <c r="H9" s="6"/>
      <c r="I9" s="6"/>
      <c r="J9" s="6"/>
      <c r="K9" s="6"/>
      <c r="L9" s="6"/>
      <c r="M9" s="6"/>
      <c r="N9" s="6"/>
      <c r="O9" s="6"/>
      <c r="P9" s="6"/>
      <c r="Q9" s="6"/>
      <c r="R9" s="6"/>
    </row>
    <row r="10" spans="1:18" x14ac:dyDescent="0.35">
      <c r="A10" s="6"/>
      <c r="B10" s="6"/>
      <c r="C10" s="6"/>
      <c r="D10" s="6"/>
      <c r="E10" s="6"/>
      <c r="F10" s="6"/>
      <c r="G10" s="6"/>
      <c r="H10" s="6"/>
      <c r="I10" s="6"/>
      <c r="J10" s="6"/>
      <c r="K10" s="6"/>
      <c r="L10" s="6"/>
      <c r="M10" s="6"/>
      <c r="N10" s="6"/>
      <c r="O10" s="6"/>
      <c r="P10" s="6"/>
      <c r="Q10" s="6"/>
      <c r="R10" s="6"/>
    </row>
    <row r="11" spans="1:18" x14ac:dyDescent="0.35">
      <c r="A11" s="6"/>
      <c r="B11" s="6"/>
      <c r="C11" s="6"/>
      <c r="D11" s="6"/>
      <c r="E11" s="6"/>
      <c r="F11" s="6"/>
      <c r="G11" s="6"/>
      <c r="H11" s="6"/>
      <c r="I11" s="6"/>
      <c r="J11" s="6"/>
      <c r="K11" s="6"/>
      <c r="L11" s="6"/>
      <c r="M11" s="6"/>
      <c r="N11" s="6"/>
      <c r="O11" s="6"/>
      <c r="P11" s="6"/>
      <c r="Q11" s="6"/>
      <c r="R11" s="6"/>
    </row>
    <row r="12" spans="1:18" x14ac:dyDescent="0.35">
      <c r="A12" s="6"/>
      <c r="B12" s="6"/>
      <c r="C12" s="6"/>
      <c r="D12" s="6"/>
      <c r="E12" s="6"/>
      <c r="F12" s="6"/>
      <c r="G12" s="6"/>
      <c r="H12" s="6"/>
      <c r="I12" s="6"/>
      <c r="J12" s="6"/>
      <c r="K12" s="6"/>
      <c r="L12" s="6"/>
      <c r="M12" s="6"/>
      <c r="N12" s="6"/>
      <c r="O12" s="6"/>
      <c r="P12" s="6"/>
      <c r="Q12" s="6"/>
      <c r="R12" s="6"/>
    </row>
    <row r="13" spans="1:18" x14ac:dyDescent="0.35">
      <c r="A13" s="6"/>
      <c r="B13" s="6"/>
      <c r="C13" s="6"/>
      <c r="D13" s="6"/>
      <c r="E13" s="6"/>
      <c r="F13" s="6"/>
      <c r="G13" s="6"/>
      <c r="H13" s="6"/>
      <c r="I13" s="6"/>
      <c r="J13" s="6"/>
      <c r="K13" s="6"/>
      <c r="L13" s="6"/>
      <c r="M13" s="6"/>
      <c r="N13" s="6"/>
      <c r="O13" s="6"/>
      <c r="P13" s="6"/>
      <c r="Q13" s="6"/>
      <c r="R13" s="6"/>
    </row>
    <row r="14" spans="1:18" x14ac:dyDescent="0.35">
      <c r="A14" s="6"/>
      <c r="B14" s="6"/>
      <c r="C14" s="6"/>
      <c r="D14" s="6"/>
      <c r="E14" s="6"/>
      <c r="F14" s="6"/>
      <c r="G14" s="6"/>
      <c r="H14" s="6"/>
      <c r="I14" s="6"/>
      <c r="J14" s="6"/>
      <c r="K14" s="6"/>
      <c r="L14" s="6"/>
      <c r="M14" s="6"/>
      <c r="N14" s="6"/>
      <c r="O14" s="6"/>
      <c r="P14" s="6"/>
      <c r="Q14" s="6"/>
      <c r="R14" s="6"/>
    </row>
    <row r="15" spans="1:18" x14ac:dyDescent="0.35">
      <c r="A15" s="6"/>
      <c r="B15" s="6"/>
      <c r="C15" s="6"/>
      <c r="D15" s="6"/>
      <c r="E15" s="6"/>
      <c r="F15" s="6"/>
      <c r="G15" s="6"/>
      <c r="H15" s="6"/>
      <c r="I15" s="6"/>
      <c r="J15" s="6"/>
      <c r="K15" s="6"/>
      <c r="L15" s="6"/>
      <c r="M15" s="6"/>
      <c r="N15" s="6"/>
      <c r="O15" s="6"/>
      <c r="P15" s="6"/>
      <c r="Q15" s="6"/>
      <c r="R15" s="6"/>
    </row>
    <row r="16" spans="1:18" x14ac:dyDescent="0.35">
      <c r="A16" s="6"/>
      <c r="B16" s="6"/>
      <c r="C16" s="6"/>
      <c r="D16" s="6"/>
      <c r="E16" s="6" t="s">
        <v>6</v>
      </c>
      <c r="F16" s="6"/>
      <c r="G16" s="6"/>
      <c r="H16" s="6" t="s">
        <v>10</v>
      </c>
      <c r="I16" s="6" t="s">
        <v>11</v>
      </c>
      <c r="J16" s="6"/>
      <c r="K16" s="6"/>
      <c r="L16" s="6"/>
      <c r="M16" s="6"/>
      <c r="N16" s="6"/>
      <c r="O16" s="6"/>
      <c r="P16" s="6"/>
      <c r="Q16" s="6"/>
      <c r="R16" s="6"/>
    </row>
    <row r="17" spans="1:18" x14ac:dyDescent="0.35">
      <c r="A17" s="6"/>
      <c r="B17" s="6"/>
      <c r="C17" s="6"/>
      <c r="D17" s="6"/>
      <c r="E17" s="6"/>
      <c r="F17" s="6"/>
      <c r="G17" s="6"/>
      <c r="H17" s="6"/>
      <c r="I17" s="6"/>
      <c r="J17" s="6"/>
      <c r="K17" s="6"/>
      <c r="L17" s="6"/>
      <c r="M17" s="6"/>
      <c r="N17" s="6"/>
      <c r="O17" s="6"/>
      <c r="P17" s="6"/>
      <c r="Q17" s="6"/>
      <c r="R17" s="6"/>
    </row>
    <row r="18" spans="1:18" x14ac:dyDescent="0.35">
      <c r="A18" s="6"/>
      <c r="B18" s="6"/>
      <c r="C18" s="6"/>
      <c r="D18" s="6"/>
      <c r="E18" s="6"/>
      <c r="F18" s="6"/>
      <c r="G18" s="6"/>
      <c r="H18" s="6"/>
      <c r="I18" s="6"/>
      <c r="J18" s="6"/>
      <c r="K18" s="6"/>
      <c r="L18" s="6"/>
      <c r="M18" s="6"/>
      <c r="N18" s="6"/>
      <c r="O18" s="6"/>
      <c r="P18" s="6"/>
      <c r="Q18" s="6"/>
      <c r="R18" s="6"/>
    </row>
    <row r="19" spans="1:18" x14ac:dyDescent="0.35">
      <c r="A19" s="6"/>
      <c r="B19" s="6"/>
      <c r="C19" s="6"/>
      <c r="D19" s="6"/>
      <c r="E19" s="6"/>
      <c r="F19" s="6"/>
      <c r="G19" s="6"/>
      <c r="H19" s="6"/>
      <c r="I19" s="6"/>
      <c r="J19" s="6"/>
      <c r="K19" s="6"/>
      <c r="L19" s="6"/>
      <c r="M19" s="6"/>
      <c r="N19" s="6"/>
      <c r="O19" s="6"/>
      <c r="P19" s="6"/>
      <c r="Q19" s="6"/>
      <c r="R19"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B1B1-A8C6-40E3-8710-4A81EDB9D741}">
  <dimension ref="A1:S20"/>
  <sheetViews>
    <sheetView zoomScale="85" zoomScaleNormal="85" workbookViewId="0"/>
  </sheetViews>
  <sheetFormatPr defaultRowHeight="14.5" x14ac:dyDescent="0.35"/>
  <sheetData>
    <row r="1" spans="1:19" x14ac:dyDescent="0.35">
      <c r="A1" s="7"/>
      <c r="B1" s="7"/>
      <c r="C1" s="7"/>
      <c r="D1" s="7"/>
      <c r="E1" s="7"/>
      <c r="F1" s="7"/>
      <c r="G1" s="7"/>
      <c r="H1" s="7"/>
      <c r="I1" s="7"/>
      <c r="J1" s="7"/>
      <c r="K1" s="7"/>
      <c r="L1" s="7"/>
      <c r="M1" s="7"/>
      <c r="N1" s="7"/>
      <c r="O1" s="7"/>
      <c r="P1" s="7"/>
      <c r="Q1" s="7"/>
      <c r="R1" s="7"/>
      <c r="S1" s="7"/>
    </row>
    <row r="2" spans="1:19" x14ac:dyDescent="0.35">
      <c r="A2" s="7"/>
      <c r="B2" s="7"/>
      <c r="C2" s="7"/>
      <c r="D2" s="7"/>
      <c r="E2" s="7"/>
      <c r="F2" s="7"/>
      <c r="G2" s="7"/>
      <c r="H2" s="7"/>
      <c r="I2" s="7"/>
      <c r="J2" s="7"/>
      <c r="K2" s="7"/>
      <c r="L2" s="7"/>
      <c r="M2" s="7"/>
      <c r="N2" s="7"/>
      <c r="O2" s="7"/>
      <c r="P2" s="7"/>
      <c r="Q2" s="7"/>
      <c r="R2" s="7"/>
      <c r="S2" s="7"/>
    </row>
    <row r="3" spans="1:19" x14ac:dyDescent="0.35">
      <c r="A3" s="7"/>
      <c r="B3" s="7"/>
      <c r="C3" s="7"/>
      <c r="D3" s="7"/>
      <c r="E3" s="7"/>
      <c r="F3" s="7"/>
      <c r="G3" s="7"/>
      <c r="H3" s="7"/>
      <c r="I3" s="7"/>
      <c r="J3" s="7"/>
      <c r="K3" s="7"/>
      <c r="L3" s="7"/>
      <c r="M3" s="7"/>
      <c r="N3" s="7"/>
      <c r="O3" s="7"/>
      <c r="P3" s="7"/>
      <c r="Q3" s="7"/>
      <c r="R3" s="7"/>
      <c r="S3" s="7"/>
    </row>
    <row r="4" spans="1:19" x14ac:dyDescent="0.35">
      <c r="A4" s="7"/>
      <c r="B4" s="7"/>
      <c r="C4" s="7"/>
      <c r="D4" s="7"/>
      <c r="E4" s="7"/>
      <c r="F4" s="7"/>
      <c r="G4" s="7"/>
      <c r="H4" s="7"/>
      <c r="I4" s="7"/>
      <c r="J4" s="7"/>
      <c r="K4" s="7"/>
      <c r="L4" s="7"/>
      <c r="M4" s="7"/>
      <c r="N4" s="7"/>
      <c r="O4" s="7"/>
      <c r="P4" s="7"/>
      <c r="Q4" s="7"/>
      <c r="R4" s="7"/>
      <c r="S4" s="7"/>
    </row>
    <row r="5" spans="1:19" x14ac:dyDescent="0.35">
      <c r="A5" s="7"/>
      <c r="B5" s="7"/>
      <c r="C5" s="7"/>
      <c r="D5" s="7"/>
      <c r="E5" s="7"/>
      <c r="F5" s="7"/>
      <c r="G5" s="7"/>
      <c r="H5" s="7"/>
      <c r="I5" s="7"/>
      <c r="J5" s="7"/>
      <c r="K5" s="7"/>
      <c r="L5" s="7"/>
      <c r="M5" s="7"/>
      <c r="N5" s="7"/>
      <c r="O5" s="7"/>
      <c r="P5" s="7"/>
      <c r="Q5" s="7"/>
      <c r="R5" s="7"/>
      <c r="S5" s="7"/>
    </row>
    <row r="6" spans="1:19" x14ac:dyDescent="0.35">
      <c r="A6" s="7"/>
      <c r="B6" s="7"/>
      <c r="C6" s="7"/>
      <c r="D6" s="7"/>
      <c r="E6" s="7"/>
      <c r="F6" s="7"/>
      <c r="G6" s="7"/>
      <c r="H6" s="7"/>
      <c r="I6" s="7"/>
      <c r="J6" s="7"/>
      <c r="K6" s="7"/>
      <c r="L6" s="7"/>
      <c r="M6" s="7"/>
      <c r="N6" s="7"/>
      <c r="O6" s="7"/>
      <c r="P6" s="7"/>
      <c r="Q6" s="7"/>
      <c r="R6" s="7"/>
      <c r="S6" s="7"/>
    </row>
    <row r="7" spans="1:19" x14ac:dyDescent="0.35">
      <c r="A7" s="7"/>
      <c r="B7" s="7"/>
      <c r="C7" s="7"/>
      <c r="D7" s="7"/>
      <c r="E7" s="7"/>
      <c r="F7" s="7"/>
      <c r="G7" s="7"/>
      <c r="H7" s="7"/>
      <c r="I7" s="7"/>
      <c r="J7" s="7"/>
      <c r="K7" s="7"/>
      <c r="L7" s="7"/>
      <c r="M7" s="7"/>
      <c r="N7" s="7"/>
      <c r="O7" s="7"/>
      <c r="P7" s="7"/>
      <c r="Q7" s="7"/>
      <c r="R7" s="7"/>
      <c r="S7" s="7"/>
    </row>
    <row r="8" spans="1:19" x14ac:dyDescent="0.35">
      <c r="A8" s="7"/>
      <c r="B8" s="7"/>
      <c r="C8" s="7"/>
      <c r="D8" s="7"/>
      <c r="E8" s="7"/>
      <c r="F8" s="7"/>
      <c r="G8" s="7"/>
      <c r="H8" s="7"/>
      <c r="I8" s="7"/>
      <c r="J8" s="7"/>
      <c r="K8" s="7"/>
      <c r="L8" s="7"/>
      <c r="M8" s="7"/>
      <c r="N8" s="7"/>
      <c r="O8" s="7"/>
      <c r="P8" s="7"/>
      <c r="Q8" s="7"/>
      <c r="R8" s="7"/>
      <c r="S8" s="7"/>
    </row>
    <row r="9" spans="1:19" x14ac:dyDescent="0.35">
      <c r="A9" s="7"/>
      <c r="B9" s="7"/>
      <c r="C9" s="7"/>
      <c r="D9" s="7"/>
      <c r="E9" s="7"/>
      <c r="F9" s="7"/>
      <c r="G9" s="7"/>
      <c r="H9" s="7"/>
      <c r="I9" s="7"/>
      <c r="J9" s="7"/>
      <c r="K9" s="7"/>
      <c r="L9" s="7"/>
      <c r="M9" s="7"/>
      <c r="N9" s="7"/>
      <c r="O9" s="7"/>
      <c r="P9" s="7"/>
      <c r="Q9" s="7"/>
      <c r="R9" s="7"/>
      <c r="S9" s="7"/>
    </row>
    <row r="10" spans="1:19" x14ac:dyDescent="0.35">
      <c r="A10" s="7"/>
      <c r="B10" s="7"/>
      <c r="C10" s="7"/>
      <c r="D10" s="7"/>
      <c r="E10" s="7"/>
      <c r="F10" s="7"/>
      <c r="G10" s="7"/>
      <c r="H10" s="7"/>
      <c r="I10" s="7"/>
      <c r="J10" s="7"/>
      <c r="K10" s="7"/>
      <c r="L10" s="7"/>
      <c r="M10" s="7"/>
      <c r="N10" s="7"/>
      <c r="O10" s="7"/>
      <c r="P10" s="7"/>
      <c r="Q10" s="7"/>
      <c r="R10" s="7"/>
      <c r="S10" s="7"/>
    </row>
    <row r="11" spans="1:19" x14ac:dyDescent="0.35">
      <c r="A11" s="7"/>
      <c r="B11" s="7"/>
      <c r="C11" s="7"/>
      <c r="D11" s="7"/>
      <c r="E11" s="7"/>
      <c r="F11" s="7"/>
      <c r="G11" s="7"/>
      <c r="H11" s="7"/>
      <c r="I11" s="7"/>
      <c r="J11" s="7"/>
      <c r="K11" s="7"/>
      <c r="L11" s="7"/>
      <c r="M11" s="7"/>
      <c r="N11" s="7"/>
      <c r="O11" s="7"/>
      <c r="P11" s="7"/>
      <c r="Q11" s="7"/>
      <c r="R11" s="7"/>
      <c r="S11" s="7"/>
    </row>
    <row r="12" spans="1:19" x14ac:dyDescent="0.35">
      <c r="A12" s="7"/>
      <c r="B12" s="7"/>
      <c r="C12" s="7"/>
      <c r="D12" s="7"/>
      <c r="E12" s="7"/>
      <c r="F12" s="7"/>
      <c r="G12" s="7"/>
      <c r="H12" s="7"/>
      <c r="I12" s="7"/>
      <c r="J12" s="7"/>
      <c r="K12" s="7"/>
      <c r="L12" s="7"/>
      <c r="M12" s="7"/>
      <c r="N12" s="7"/>
      <c r="O12" s="7"/>
      <c r="P12" s="7"/>
      <c r="Q12" s="7"/>
      <c r="R12" s="7"/>
      <c r="S12" s="7"/>
    </row>
    <row r="13" spans="1:19" x14ac:dyDescent="0.35">
      <c r="A13" s="7"/>
      <c r="B13" s="7"/>
      <c r="C13" s="7"/>
      <c r="D13" s="7"/>
      <c r="E13" s="7"/>
      <c r="F13" s="7"/>
      <c r="G13" s="7"/>
      <c r="H13" s="7"/>
      <c r="I13" s="7"/>
      <c r="J13" s="7"/>
      <c r="K13" s="7"/>
      <c r="L13" s="7"/>
      <c r="M13" s="7"/>
      <c r="N13" s="7"/>
      <c r="O13" s="7"/>
      <c r="P13" s="7"/>
      <c r="Q13" s="7"/>
      <c r="R13" s="7"/>
      <c r="S13" s="7"/>
    </row>
    <row r="14" spans="1:19" x14ac:dyDescent="0.35">
      <c r="A14" s="7"/>
      <c r="B14" s="7"/>
      <c r="C14" s="7"/>
      <c r="D14" s="7"/>
      <c r="E14" s="7"/>
      <c r="F14" s="7"/>
      <c r="G14" s="7"/>
      <c r="H14" s="7"/>
      <c r="I14" s="7"/>
      <c r="J14" s="7"/>
      <c r="K14" s="7"/>
      <c r="L14" s="7"/>
      <c r="M14" s="7"/>
      <c r="N14" s="7"/>
      <c r="O14" s="7"/>
      <c r="P14" s="7"/>
      <c r="Q14" s="7"/>
      <c r="R14" s="7"/>
      <c r="S14" s="7"/>
    </row>
    <row r="15" spans="1:19" x14ac:dyDescent="0.35">
      <c r="A15" s="7"/>
      <c r="B15" s="7"/>
      <c r="C15" s="7"/>
      <c r="D15" s="7"/>
      <c r="E15" s="7"/>
      <c r="F15" s="7"/>
      <c r="G15" s="7"/>
      <c r="H15" s="7"/>
      <c r="I15" s="7"/>
      <c r="J15" s="7"/>
      <c r="K15" s="7"/>
      <c r="L15" s="7"/>
      <c r="M15" s="7"/>
      <c r="N15" s="7"/>
      <c r="O15" s="7"/>
      <c r="P15" s="7"/>
      <c r="Q15" s="7"/>
      <c r="R15" s="7"/>
      <c r="S15" s="7"/>
    </row>
    <row r="16" spans="1:19" x14ac:dyDescent="0.35">
      <c r="A16" s="7"/>
      <c r="B16" s="7"/>
      <c r="C16" s="7"/>
      <c r="D16" s="7"/>
      <c r="E16" s="7"/>
      <c r="F16" s="7"/>
      <c r="G16" s="7"/>
      <c r="H16" s="7"/>
      <c r="I16" s="7"/>
      <c r="J16" s="7"/>
      <c r="K16" s="7"/>
      <c r="L16" s="7"/>
      <c r="M16" s="7"/>
      <c r="N16" s="7"/>
      <c r="O16" s="7"/>
      <c r="P16" s="7"/>
      <c r="Q16" s="7"/>
      <c r="R16" s="7"/>
      <c r="S16" s="7"/>
    </row>
    <row r="17" spans="1:19" x14ac:dyDescent="0.35">
      <c r="A17" s="7"/>
      <c r="B17" s="7"/>
      <c r="C17" s="7"/>
      <c r="D17" s="7"/>
      <c r="E17" s="7"/>
      <c r="F17" s="7"/>
      <c r="G17" s="7"/>
      <c r="H17" s="7"/>
      <c r="I17" s="7"/>
      <c r="J17" s="7"/>
      <c r="K17" s="7"/>
      <c r="L17" s="7"/>
      <c r="M17" s="7"/>
      <c r="N17" s="7"/>
      <c r="O17" s="7"/>
      <c r="P17" s="7"/>
      <c r="Q17" s="7"/>
      <c r="R17" s="7"/>
      <c r="S17" s="7"/>
    </row>
    <row r="18" spans="1:19" x14ac:dyDescent="0.35">
      <c r="A18" s="7"/>
      <c r="B18" s="7"/>
      <c r="C18" s="7"/>
      <c r="D18" s="7"/>
      <c r="E18" s="7"/>
      <c r="F18" s="7"/>
      <c r="G18" s="7"/>
      <c r="H18" s="7"/>
      <c r="I18" s="7"/>
      <c r="J18" s="7"/>
      <c r="K18" s="7"/>
      <c r="L18" s="7"/>
      <c r="M18" s="7"/>
      <c r="N18" s="7"/>
      <c r="O18" s="7"/>
      <c r="P18" s="7"/>
      <c r="Q18" s="7"/>
      <c r="R18" s="7"/>
      <c r="S18" s="7"/>
    </row>
    <row r="19" spans="1:19" x14ac:dyDescent="0.35">
      <c r="A19" s="7"/>
      <c r="B19" s="7" t="s">
        <v>9</v>
      </c>
      <c r="C19" s="7"/>
      <c r="D19" s="7"/>
      <c r="E19" s="7"/>
      <c r="F19" s="7"/>
      <c r="G19" s="7"/>
      <c r="H19" s="7"/>
      <c r="I19" s="7"/>
      <c r="J19" s="7"/>
      <c r="K19" s="7"/>
      <c r="L19" s="7"/>
      <c r="M19" s="7"/>
      <c r="N19" s="7"/>
      <c r="O19" s="7"/>
      <c r="P19" s="7"/>
      <c r="Q19" s="7"/>
      <c r="R19" s="7"/>
      <c r="S19" s="7"/>
    </row>
    <row r="20" spans="1:19" x14ac:dyDescent="0.35">
      <c r="A20" s="7"/>
      <c r="B20" s="7"/>
      <c r="C20" s="7"/>
      <c r="D20" s="7"/>
      <c r="E20" s="7"/>
      <c r="F20" s="7"/>
      <c r="G20" s="7"/>
      <c r="H20" s="7"/>
      <c r="I20" s="7"/>
      <c r="J20" s="7"/>
      <c r="K20" s="7"/>
      <c r="L20" s="7"/>
      <c r="M20" s="7"/>
      <c r="N20" s="7"/>
      <c r="O20" s="7"/>
      <c r="P20" s="7"/>
      <c r="Q20" s="7"/>
      <c r="R20" s="7"/>
      <c r="S20"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1C5B-2DA2-48BC-AA15-E55A6D1B5B29}">
  <dimension ref="A1:S23"/>
  <sheetViews>
    <sheetView zoomScale="85" zoomScaleNormal="85" workbookViewId="0">
      <selection activeCell="F21" sqref="F21"/>
    </sheetView>
  </sheetViews>
  <sheetFormatPr defaultRowHeight="14.5" x14ac:dyDescent="0.35"/>
  <sheetData>
    <row r="1" spans="1:19" x14ac:dyDescent="0.35">
      <c r="A1" s="7"/>
      <c r="B1" s="7"/>
      <c r="C1" s="7"/>
      <c r="D1" s="7"/>
      <c r="E1" s="7"/>
      <c r="F1" s="7"/>
      <c r="G1" s="7"/>
      <c r="H1" s="7"/>
      <c r="I1" s="7"/>
      <c r="J1" s="7"/>
      <c r="K1" s="7"/>
      <c r="L1" s="7"/>
      <c r="M1" s="7"/>
      <c r="N1" s="7"/>
      <c r="O1" s="7"/>
      <c r="P1" s="7"/>
      <c r="Q1" s="7"/>
      <c r="R1" s="7"/>
      <c r="S1" s="7"/>
    </row>
    <row r="2" spans="1:19" x14ac:dyDescent="0.35">
      <c r="A2" s="7"/>
      <c r="B2" s="7"/>
      <c r="C2" s="7"/>
      <c r="D2" s="7"/>
      <c r="E2" s="7"/>
      <c r="F2" s="7"/>
      <c r="G2" s="7"/>
      <c r="H2" s="7"/>
      <c r="I2" s="7"/>
      <c r="J2" s="7"/>
      <c r="K2" s="7"/>
      <c r="L2" s="7"/>
      <c r="M2" s="7"/>
      <c r="N2" s="7"/>
      <c r="O2" s="7"/>
      <c r="P2" s="7"/>
      <c r="Q2" s="7"/>
      <c r="R2" s="7"/>
      <c r="S2" s="7"/>
    </row>
    <row r="3" spans="1:19" x14ac:dyDescent="0.35">
      <c r="A3" s="7"/>
      <c r="B3" s="7"/>
      <c r="C3" s="7"/>
      <c r="D3" s="7"/>
      <c r="E3" s="7"/>
      <c r="F3" s="7"/>
      <c r="G3" s="7"/>
      <c r="H3" s="7"/>
      <c r="I3" s="7"/>
      <c r="J3" s="7"/>
      <c r="K3" s="7"/>
      <c r="L3" s="7"/>
      <c r="M3" s="7"/>
      <c r="N3" s="7"/>
      <c r="O3" s="7"/>
      <c r="P3" s="7"/>
      <c r="Q3" s="7"/>
      <c r="R3" s="7"/>
      <c r="S3" s="7"/>
    </row>
    <row r="4" spans="1:19" x14ac:dyDescent="0.35">
      <c r="A4" s="7"/>
      <c r="B4" s="7"/>
      <c r="C4" s="7"/>
      <c r="D4" s="7"/>
      <c r="E4" s="7"/>
      <c r="F4" s="7"/>
      <c r="G4" s="7"/>
      <c r="H4" s="7"/>
      <c r="I4" s="7"/>
      <c r="J4" s="7"/>
      <c r="K4" s="7"/>
      <c r="L4" s="7"/>
      <c r="M4" s="7"/>
      <c r="N4" s="7"/>
      <c r="O4" s="7"/>
      <c r="P4" s="7"/>
      <c r="Q4" s="7"/>
      <c r="R4" s="7"/>
      <c r="S4" s="7"/>
    </row>
    <row r="5" spans="1:19" x14ac:dyDescent="0.35">
      <c r="A5" s="7"/>
      <c r="B5" s="7"/>
      <c r="C5" s="7"/>
      <c r="D5" s="7"/>
      <c r="E5" s="7"/>
      <c r="F5" s="7"/>
      <c r="G5" s="7"/>
      <c r="H5" s="7"/>
      <c r="I5" s="7"/>
      <c r="J5" s="7"/>
      <c r="K5" s="7"/>
      <c r="L5" s="7"/>
      <c r="M5" s="7"/>
      <c r="N5" s="7"/>
      <c r="O5" s="7"/>
      <c r="P5" s="7"/>
      <c r="Q5" s="7"/>
      <c r="R5" s="7"/>
      <c r="S5" s="7"/>
    </row>
    <row r="6" spans="1:19" x14ac:dyDescent="0.35">
      <c r="A6" s="7"/>
      <c r="B6" s="7"/>
      <c r="C6" s="7"/>
      <c r="D6" s="7"/>
      <c r="E6" s="7"/>
      <c r="F6" s="7"/>
      <c r="G6" s="7"/>
      <c r="H6" s="7"/>
      <c r="I6" s="7"/>
      <c r="J6" s="7"/>
      <c r="K6" s="7"/>
      <c r="L6" s="7"/>
      <c r="M6" s="7"/>
      <c r="N6" s="7"/>
      <c r="O6" s="7"/>
      <c r="P6" s="7"/>
      <c r="Q6" s="7"/>
      <c r="R6" s="7"/>
      <c r="S6" s="7"/>
    </row>
    <row r="7" spans="1:19" x14ac:dyDescent="0.35">
      <c r="A7" s="7"/>
      <c r="B7" s="7"/>
      <c r="C7" s="7"/>
      <c r="D7" s="7"/>
      <c r="E7" s="7"/>
      <c r="F7" s="7"/>
      <c r="G7" s="7"/>
      <c r="H7" s="7"/>
      <c r="I7" s="7"/>
      <c r="J7" s="7"/>
      <c r="K7" s="7"/>
      <c r="L7" s="7"/>
      <c r="M7" s="7"/>
      <c r="N7" s="7"/>
      <c r="O7" s="7"/>
      <c r="P7" s="7"/>
      <c r="Q7" s="7"/>
      <c r="R7" s="7"/>
      <c r="S7" s="7"/>
    </row>
    <row r="8" spans="1:19" x14ac:dyDescent="0.35">
      <c r="A8" s="7"/>
      <c r="B8" s="7"/>
      <c r="C8" s="7"/>
      <c r="D8" s="7"/>
      <c r="E8" s="7"/>
      <c r="F8" s="7"/>
      <c r="G8" s="7"/>
      <c r="H8" s="7"/>
      <c r="I8" s="7"/>
      <c r="J8" s="7"/>
      <c r="K8" s="7"/>
      <c r="L8" s="7"/>
      <c r="M8" s="7"/>
      <c r="N8" s="7"/>
      <c r="O8" s="7"/>
      <c r="P8" s="7"/>
      <c r="Q8" s="7"/>
      <c r="R8" s="7"/>
      <c r="S8" s="7"/>
    </row>
    <row r="9" spans="1:19" x14ac:dyDescent="0.35">
      <c r="A9" s="7"/>
      <c r="B9" s="7"/>
      <c r="C9" s="7"/>
      <c r="D9" s="7"/>
      <c r="E9" s="7"/>
      <c r="F9" s="7"/>
      <c r="G9" s="7"/>
      <c r="H9" s="7"/>
      <c r="I9" s="7"/>
      <c r="J9" s="7"/>
      <c r="K9" s="7"/>
      <c r="L9" s="7"/>
      <c r="M9" s="7"/>
      <c r="N9" s="7"/>
      <c r="O9" s="7"/>
      <c r="P9" s="7"/>
      <c r="Q9" s="7"/>
      <c r="R9" s="7"/>
      <c r="S9" s="7"/>
    </row>
    <row r="10" spans="1:19" x14ac:dyDescent="0.35">
      <c r="A10" s="7"/>
      <c r="B10" s="7"/>
      <c r="C10" s="7"/>
      <c r="D10" s="7"/>
      <c r="E10" s="7"/>
      <c r="F10" s="7"/>
      <c r="G10" s="7"/>
      <c r="H10" s="7"/>
      <c r="I10" s="7"/>
      <c r="J10" s="7"/>
      <c r="K10" s="7"/>
      <c r="L10" s="7"/>
      <c r="M10" s="7"/>
      <c r="N10" s="7"/>
      <c r="O10" s="7"/>
      <c r="P10" s="7"/>
      <c r="Q10" s="7"/>
      <c r="R10" s="7"/>
      <c r="S10" s="7"/>
    </row>
    <row r="11" spans="1:19" x14ac:dyDescent="0.35">
      <c r="A11" s="7"/>
      <c r="B11" s="7"/>
      <c r="C11" s="7"/>
      <c r="D11" s="7"/>
      <c r="E11" s="7"/>
      <c r="F11" s="7"/>
      <c r="G11" s="7"/>
      <c r="H11" s="7"/>
      <c r="I11" s="7"/>
      <c r="J11" s="7"/>
      <c r="K11" s="7"/>
      <c r="L11" s="7"/>
      <c r="M11" s="7"/>
      <c r="N11" s="7"/>
      <c r="O11" s="7"/>
      <c r="P11" s="7"/>
      <c r="Q11" s="7"/>
      <c r="R11" s="7"/>
      <c r="S11" s="7"/>
    </row>
    <row r="12" spans="1:19" x14ac:dyDescent="0.35">
      <c r="A12" s="7"/>
      <c r="B12" s="7"/>
      <c r="C12" s="7"/>
      <c r="D12" s="7"/>
      <c r="E12" s="7"/>
      <c r="F12" s="7"/>
      <c r="G12" s="7"/>
      <c r="H12" s="7"/>
      <c r="I12" s="7"/>
      <c r="J12" s="7"/>
      <c r="K12" s="7"/>
      <c r="L12" s="7"/>
      <c r="M12" s="7"/>
      <c r="N12" s="7"/>
      <c r="O12" s="7"/>
      <c r="P12" s="7"/>
      <c r="Q12" s="7"/>
      <c r="R12" s="7"/>
      <c r="S12" s="7"/>
    </row>
    <row r="13" spans="1:19" x14ac:dyDescent="0.35">
      <c r="A13" s="7"/>
      <c r="B13" s="7"/>
      <c r="C13" s="7"/>
      <c r="D13" s="7"/>
      <c r="E13" s="7"/>
      <c r="F13" s="7"/>
      <c r="G13" s="7"/>
      <c r="H13" s="7"/>
      <c r="I13" s="7"/>
      <c r="J13" s="7"/>
      <c r="K13" s="7"/>
      <c r="L13" s="7"/>
      <c r="M13" s="7"/>
      <c r="N13" s="7"/>
      <c r="O13" s="7"/>
      <c r="P13" s="7"/>
      <c r="Q13" s="7"/>
      <c r="R13" s="7"/>
      <c r="S13" s="7"/>
    </row>
    <row r="14" spans="1:19" x14ac:dyDescent="0.35">
      <c r="A14" s="7"/>
      <c r="B14" s="7"/>
      <c r="C14" s="7"/>
      <c r="D14" s="7"/>
      <c r="E14" s="7"/>
      <c r="F14" s="7"/>
      <c r="G14" s="7"/>
      <c r="H14" s="7"/>
      <c r="I14" s="7"/>
      <c r="J14" s="7"/>
      <c r="K14" s="7"/>
      <c r="L14" s="7"/>
      <c r="M14" s="7"/>
      <c r="N14" s="7"/>
      <c r="O14" s="7"/>
      <c r="P14" s="7"/>
      <c r="Q14" s="7"/>
      <c r="R14" s="7"/>
      <c r="S14" s="7"/>
    </row>
    <row r="15" spans="1:19" x14ac:dyDescent="0.35">
      <c r="A15" s="7"/>
      <c r="B15" s="7"/>
      <c r="C15" s="7"/>
      <c r="D15" s="7"/>
      <c r="E15" s="7"/>
      <c r="F15" s="7"/>
      <c r="G15" s="7"/>
      <c r="H15" s="7"/>
      <c r="I15" s="7"/>
      <c r="J15" s="7"/>
      <c r="K15" s="7"/>
      <c r="L15" s="7"/>
      <c r="M15" s="7"/>
      <c r="N15" s="7"/>
      <c r="O15" s="7"/>
      <c r="P15" s="7"/>
      <c r="Q15" s="7"/>
      <c r="R15" s="7"/>
      <c r="S15" s="7"/>
    </row>
    <row r="16" spans="1:19" x14ac:dyDescent="0.35">
      <c r="A16" s="7"/>
      <c r="B16" s="7"/>
      <c r="C16" s="7"/>
      <c r="D16" s="7"/>
      <c r="E16" s="7"/>
      <c r="F16" s="7"/>
      <c r="G16" s="7"/>
      <c r="H16" s="7"/>
      <c r="I16" s="7"/>
      <c r="J16" s="7"/>
      <c r="K16" s="7"/>
      <c r="L16" s="7"/>
      <c r="M16" s="7"/>
      <c r="N16" s="7"/>
      <c r="O16" s="7"/>
      <c r="P16" s="7"/>
      <c r="Q16" s="7"/>
      <c r="R16" s="7"/>
      <c r="S16" s="7"/>
    </row>
    <row r="17" spans="1:19" x14ac:dyDescent="0.35">
      <c r="A17" s="7"/>
      <c r="B17" s="7"/>
      <c r="C17" s="7"/>
      <c r="D17" s="7"/>
      <c r="E17" s="7"/>
      <c r="F17" s="7"/>
      <c r="G17" s="7"/>
      <c r="H17" s="7"/>
      <c r="I17" s="7"/>
      <c r="J17" s="7"/>
      <c r="K17" s="7"/>
      <c r="L17" s="7"/>
      <c r="M17" s="7"/>
      <c r="N17" s="7"/>
      <c r="O17" s="7"/>
      <c r="P17" s="7"/>
      <c r="Q17" s="7"/>
      <c r="R17" s="7"/>
      <c r="S17" s="7"/>
    </row>
    <row r="18" spans="1:19" x14ac:dyDescent="0.35">
      <c r="A18" s="7"/>
      <c r="B18" s="7"/>
      <c r="C18" s="7"/>
      <c r="D18" s="7"/>
      <c r="E18" s="7"/>
      <c r="F18" s="7"/>
      <c r="G18" s="7"/>
      <c r="H18" s="7"/>
      <c r="I18" s="7"/>
      <c r="J18" s="7"/>
      <c r="K18" s="7"/>
      <c r="L18" s="7"/>
      <c r="M18" s="7"/>
      <c r="N18" s="7"/>
      <c r="O18" s="7"/>
      <c r="P18" s="7"/>
      <c r="Q18" s="7"/>
      <c r="R18" s="7"/>
      <c r="S18" s="7"/>
    </row>
    <row r="19" spans="1:19" x14ac:dyDescent="0.35">
      <c r="A19" s="7"/>
      <c r="B19" s="7"/>
      <c r="C19" s="7"/>
      <c r="D19" s="7"/>
      <c r="E19" s="7"/>
      <c r="F19" s="7"/>
      <c r="G19" s="7"/>
      <c r="H19" s="7"/>
      <c r="I19" s="7"/>
      <c r="J19" s="7"/>
      <c r="K19" s="7"/>
      <c r="L19" s="7"/>
      <c r="M19" s="7"/>
      <c r="N19" s="7"/>
      <c r="O19" s="7"/>
      <c r="P19" s="7"/>
      <c r="Q19" s="7"/>
      <c r="R19" s="7"/>
      <c r="S19" s="7"/>
    </row>
    <row r="20" spans="1:19" x14ac:dyDescent="0.35">
      <c r="A20" s="7"/>
      <c r="B20" s="7"/>
      <c r="C20" s="7"/>
      <c r="D20" s="7"/>
      <c r="E20" s="7"/>
      <c r="F20" s="7"/>
      <c r="G20" s="7"/>
      <c r="H20" s="7"/>
      <c r="I20" s="7"/>
      <c r="J20" s="7"/>
      <c r="K20" s="7"/>
      <c r="L20" s="7"/>
      <c r="M20" s="7"/>
      <c r="N20" s="7"/>
      <c r="O20" s="7"/>
      <c r="P20" s="7"/>
      <c r="Q20" s="7"/>
      <c r="R20" s="7"/>
      <c r="S20" s="7"/>
    </row>
    <row r="21" spans="1:19" x14ac:dyDescent="0.35">
      <c r="A21" s="7"/>
      <c r="B21" s="7"/>
      <c r="C21" s="7"/>
      <c r="D21" s="7"/>
      <c r="E21" s="7"/>
      <c r="F21" s="7" t="s">
        <v>80</v>
      </c>
      <c r="G21" s="7"/>
      <c r="H21" s="7"/>
      <c r="I21" s="7"/>
      <c r="J21" s="7"/>
      <c r="K21" s="7"/>
      <c r="L21" s="7"/>
      <c r="M21" s="7"/>
      <c r="N21" s="7"/>
      <c r="O21" s="7"/>
      <c r="P21" s="7"/>
      <c r="Q21" s="7"/>
      <c r="R21" s="7"/>
      <c r="S21" s="7"/>
    </row>
    <row r="22" spans="1:19" x14ac:dyDescent="0.35">
      <c r="A22" s="7"/>
      <c r="B22" s="7"/>
      <c r="C22" s="7"/>
      <c r="D22" s="7"/>
      <c r="E22" s="7"/>
      <c r="F22" s="7"/>
      <c r="G22" s="7"/>
      <c r="H22" s="7"/>
      <c r="I22" s="7"/>
      <c r="J22" s="7"/>
      <c r="K22" s="7"/>
      <c r="L22" s="7"/>
      <c r="M22" s="7"/>
      <c r="N22" s="7"/>
      <c r="O22" s="7"/>
      <c r="P22" s="7"/>
      <c r="Q22" s="7"/>
      <c r="R22" s="7"/>
      <c r="S22" s="7"/>
    </row>
    <row r="23" spans="1:19" x14ac:dyDescent="0.35">
      <c r="A23" s="7"/>
      <c r="B23" s="7"/>
      <c r="C23" s="7"/>
      <c r="D23" s="7"/>
      <c r="E23" s="7"/>
      <c r="F23" s="7"/>
      <c r="G23" s="7"/>
      <c r="H23" s="7"/>
      <c r="I23" s="7"/>
      <c r="J23" s="7"/>
      <c r="K23" s="7"/>
      <c r="L23" s="7"/>
      <c r="M23" s="7"/>
      <c r="N23" s="7"/>
      <c r="O23" s="7"/>
      <c r="P23" s="7"/>
      <c r="Q23" s="7"/>
      <c r="R23" s="7"/>
      <c r="S23"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F05A3397-643D-4ABE-84B3-D7D6C3CBD492}">
  <ds:schemaRefs/>
</ds:datastoreItem>
</file>

<file path=customXml/itemProps2.xml><?xml version="1.0" encoding="utf-8"?>
<ds:datastoreItem xmlns:ds="http://schemas.openxmlformats.org/officeDocument/2006/customXml" ds:itemID="{5B258C49-30AC-487B-A074-587C21E65633}">
  <ds:schemaRefs/>
</ds:datastoreItem>
</file>

<file path=customXml/itemProps3.xml><?xml version="1.0" encoding="utf-8"?>
<ds:datastoreItem xmlns:ds="http://schemas.openxmlformats.org/officeDocument/2006/customXml" ds:itemID="{180FDED9-E059-4C9A-9296-24856BB1DB65}">
  <ds:schemaRefs/>
</ds:datastoreItem>
</file>

<file path=customXml/itemProps4.xml><?xml version="1.0" encoding="utf-8"?>
<ds:datastoreItem xmlns:ds="http://schemas.openxmlformats.org/officeDocument/2006/customXml" ds:itemID="{0C1704B1-0EEC-43EE-A6F7-3AB262DF7383}">
  <ds:schemaRefs/>
</ds:datastoreItem>
</file>

<file path=customXml/itemProps5.xml><?xml version="1.0" encoding="utf-8"?>
<ds:datastoreItem xmlns:ds="http://schemas.openxmlformats.org/officeDocument/2006/customXml" ds:itemID="{D3222896-316B-4A78-B8FC-3CD3BF5CAF28}">
  <ds:schemaRefs/>
</ds:datastoreItem>
</file>

<file path=customXml/itemProps6.xml><?xml version="1.0" encoding="utf-8"?>
<ds:datastoreItem xmlns:ds="http://schemas.openxmlformats.org/officeDocument/2006/customXml" ds:itemID="{1060650B-0030-48BC-A26F-1B0BC485E74C}">
  <ds:schemaRefs/>
</ds:datastoreItem>
</file>

<file path=customXml/itemProps7.xml><?xml version="1.0" encoding="utf-8"?>
<ds:datastoreItem xmlns:ds="http://schemas.openxmlformats.org/officeDocument/2006/customXml" ds:itemID="{BE4D9C44-3FA5-4952-BAC0-3540E493648E}">
  <ds:schemaRefs>
    <ds:schemaRef ds:uri="http://schemas.microsoft.com/DataMashup"/>
  </ds:schemaRefs>
</ds:datastoreItem>
</file>

<file path=customXml/itemProps8.xml><?xml version="1.0" encoding="utf-8"?>
<ds:datastoreItem xmlns:ds="http://schemas.openxmlformats.org/officeDocument/2006/customXml" ds:itemID="{8AD47B86-CB87-4DC4-B6C9-D121CBB4EA6D}">
  <ds:schemaRefs/>
</ds:datastoreItem>
</file>

<file path=customXml/itemProps9.xml><?xml version="1.0" encoding="utf-8"?>
<ds:datastoreItem xmlns:ds="http://schemas.openxmlformats.org/officeDocument/2006/customXml" ds:itemID="{4F45726A-7A20-451E-8EA5-E621F21B5C79}">
  <ds:schemaRefs/>
</ds:datastoreItem>
</file>

<file path=customXml/itemProps10.xml><?xml version="1.0" encoding="utf-8"?>
<ds:datastoreItem xmlns:ds="http://schemas.openxmlformats.org/officeDocument/2006/customXml" ds:itemID="{44671B4E-A40E-42A8-BEEF-23DB4D2C9141}">
  <ds:schemaRefs/>
</ds:datastoreItem>
</file>

<file path=customXml/itemProps11.xml><?xml version="1.0" encoding="utf-8"?>
<ds:datastoreItem xmlns:ds="http://schemas.openxmlformats.org/officeDocument/2006/customXml" ds:itemID="{88CBA90D-F1B6-45BB-B627-92E02A1D0098}">
  <ds:schemaRefs/>
</ds:datastoreItem>
</file>

<file path=customXml/itemProps12.xml><?xml version="1.0" encoding="utf-8"?>
<ds:datastoreItem xmlns:ds="http://schemas.openxmlformats.org/officeDocument/2006/customXml" ds:itemID="{2B88F83C-73E9-4CE9-B4A4-55A43DC17FDD}">
  <ds:schemaRefs/>
</ds:datastoreItem>
</file>

<file path=customXml/itemProps13.xml><?xml version="1.0" encoding="utf-8"?>
<ds:datastoreItem xmlns:ds="http://schemas.openxmlformats.org/officeDocument/2006/customXml" ds:itemID="{EB812D3B-1E3C-4DEC-9E09-20728CFD29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 </vt:lpstr>
      <vt:lpstr>Dashboard</vt:lpstr>
      <vt:lpstr>Daily ER Room No. of Patient</vt:lpstr>
      <vt:lpstr>Average wait time daily trned </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AGARWAL</dc:creator>
  <cp:lastModifiedBy>YASH AGARWAL</cp:lastModifiedBy>
  <dcterms:created xsi:type="dcterms:W3CDTF">2026-08-10T10:56:45Z</dcterms:created>
  <dcterms:modified xsi:type="dcterms:W3CDTF">2026-08-18T09:30:13Z</dcterms:modified>
</cp:coreProperties>
</file>